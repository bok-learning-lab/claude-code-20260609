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hu-my.sharepoint.com/personal/lmoyer_seas_harvard_edu/Documents/Teaching/ES53/ES 53 Fall 2025/Final Projects/"/>
    </mc:Choice>
  </mc:AlternateContent>
  <xr:revisionPtr revIDLastSave="312" documentId="11_F25DC773A252ABDACC10482221DC7D3E5BDE58EE" xr6:coauthVersionLast="47" xr6:coauthVersionMax="47" xr10:uidLastSave="{B4A88389-DB3A-408E-AE00-C9334138E13B}"/>
  <bookViews>
    <workbookView xWindow="-108" yWindow="-108" windowWidth="23256" windowHeight="13896" activeTab="1" xr2:uid="{00000000-000D-0000-FFFF-FFFF00000000}"/>
  </bookViews>
  <sheets>
    <sheet name="Report" sheetId="1" r:id="rId1"/>
    <sheet name="Summary" sheetId="3" r:id="rId2"/>
    <sheet name="Presentation" sheetId="2" r:id="rId3"/>
    <sheet name="Form or Group work"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3" i="3" l="1"/>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2" i="3"/>
  <c r="X63" i="3"/>
  <c r="X3" i="3"/>
  <c r="X4" i="3"/>
  <c r="X5" i="3"/>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2" i="3"/>
  <c r="N3" i="3" l="1"/>
  <c r="N4" i="3"/>
  <c r="N5" i="3"/>
  <c r="N6" i="3"/>
  <c r="N7" i="3"/>
  <c r="N8" i="3"/>
  <c r="N9" i="3"/>
  <c r="N10" i="3"/>
  <c r="N11" i="3"/>
  <c r="N12" i="3"/>
  <c r="N13" i="3"/>
  <c r="N14" i="3"/>
  <c r="N15" i="3"/>
  <c r="N16" i="3"/>
  <c r="L3" i="3"/>
  <c r="L4" i="3"/>
  <c r="L5" i="3"/>
  <c r="L6" i="3"/>
  <c r="L7" i="3"/>
  <c r="L8" i="3"/>
  <c r="L9" i="3"/>
  <c r="L10" i="3"/>
  <c r="L11" i="3"/>
  <c r="L12" i="3"/>
  <c r="L13" i="3"/>
  <c r="L14" i="3"/>
  <c r="L15" i="3"/>
  <c r="L16" i="3"/>
  <c r="J3" i="3"/>
  <c r="J4" i="3"/>
  <c r="J5" i="3"/>
  <c r="J6" i="3"/>
  <c r="J7" i="3"/>
  <c r="J8" i="3"/>
  <c r="J9" i="3"/>
  <c r="J10" i="3"/>
  <c r="J11" i="3"/>
  <c r="J12" i="3"/>
  <c r="J13" i="3"/>
  <c r="J14" i="3"/>
  <c r="J15" i="3"/>
  <c r="J16" i="3"/>
  <c r="H3" i="3"/>
  <c r="H4" i="3"/>
  <c r="H5" i="3"/>
  <c r="H6" i="3"/>
  <c r="H7" i="3"/>
  <c r="H8" i="3"/>
  <c r="H9" i="3"/>
  <c r="H10" i="3"/>
  <c r="H11" i="3"/>
  <c r="H12" i="3"/>
  <c r="H13" i="3"/>
  <c r="H14" i="3"/>
  <c r="H15" i="3"/>
  <c r="H16" i="3"/>
  <c r="N2" i="3"/>
  <c r="L2" i="3"/>
  <c r="J2" i="3"/>
  <c r="H2" i="3"/>
  <c r="E2" i="3"/>
  <c r="F2" i="3" s="1"/>
  <c r="F3" i="3"/>
  <c r="F4" i="3"/>
  <c r="F5" i="3"/>
  <c r="F6" i="3"/>
  <c r="E3" i="3"/>
  <c r="E4" i="3"/>
  <c r="E5" i="3"/>
  <c r="E6" i="3"/>
  <c r="E7" i="3"/>
  <c r="F7" i="3" s="1"/>
  <c r="E8" i="3"/>
  <c r="F8" i="3" s="1"/>
  <c r="E9" i="3"/>
  <c r="F9" i="3" s="1"/>
  <c r="E10" i="3"/>
  <c r="F10" i="3" s="1"/>
  <c r="E11" i="3"/>
  <c r="F11" i="3" s="1"/>
  <c r="E12" i="3"/>
  <c r="F12" i="3" s="1"/>
  <c r="E13" i="3"/>
  <c r="F13" i="3" s="1"/>
  <c r="E14" i="3"/>
  <c r="F14" i="3" s="1"/>
  <c r="E15" i="3"/>
  <c r="F15" i="3" s="1"/>
  <c r="E16" i="3"/>
  <c r="F16" i="3" s="1"/>
  <c r="P47" i="2"/>
  <c r="Q47" i="2"/>
  <c r="P48" i="2"/>
  <c r="Q48" i="2"/>
  <c r="P49" i="2"/>
  <c r="Q49" i="2"/>
  <c r="P50" i="2"/>
  <c r="Q50" i="2"/>
  <c r="P51" i="2"/>
  <c r="Q51" i="2"/>
  <c r="P52" i="2"/>
  <c r="Q52" i="2"/>
  <c r="P53" i="2"/>
  <c r="Q53" i="2"/>
  <c r="P54" i="2"/>
  <c r="Q54" i="2"/>
  <c r="P55" i="2"/>
  <c r="Q55" i="2"/>
  <c r="P56" i="2"/>
  <c r="Q56" i="2"/>
  <c r="P57" i="2"/>
  <c r="Q57" i="2"/>
  <c r="P58" i="2"/>
  <c r="Q58" i="2"/>
  <c r="P59" i="2"/>
  <c r="Q59" i="2"/>
  <c r="P60" i="2"/>
  <c r="Q60" i="2"/>
  <c r="Q46" i="2"/>
  <c r="P46" i="2"/>
  <c r="N47" i="2"/>
  <c r="N48" i="2"/>
  <c r="N49" i="2"/>
  <c r="N50" i="2"/>
  <c r="N51" i="2"/>
  <c r="N52" i="2"/>
  <c r="N53" i="2"/>
  <c r="N54" i="2"/>
  <c r="N55" i="2"/>
  <c r="N56" i="2"/>
  <c r="N58" i="2"/>
  <c r="N60" i="2"/>
  <c r="N59" i="2"/>
  <c r="N46" i="2"/>
  <c r="N3" i="2"/>
  <c r="N4" i="2"/>
  <c r="N5" i="2"/>
  <c r="N6" i="2"/>
  <c r="O6" i="2" s="1"/>
  <c r="N7" i="2"/>
  <c r="N8" i="2"/>
  <c r="N9" i="2"/>
  <c r="O9" i="2" s="1"/>
  <c r="N10" i="2"/>
  <c r="N11" i="2"/>
  <c r="N12" i="2"/>
  <c r="N13" i="2"/>
  <c r="N14" i="2"/>
  <c r="N15" i="2"/>
  <c r="N16" i="2"/>
  <c r="O16" i="2" s="1"/>
  <c r="N17" i="2"/>
  <c r="N18" i="2"/>
  <c r="N19" i="2"/>
  <c r="O19" i="2" s="1"/>
  <c r="N20" i="2"/>
  <c r="N21" i="2"/>
  <c r="N22" i="2"/>
  <c r="O22" i="2" s="1"/>
  <c r="N23" i="2"/>
  <c r="N24" i="2"/>
  <c r="N25" i="2"/>
  <c r="N26" i="2"/>
  <c r="N27" i="2"/>
  <c r="O25" i="2" s="1"/>
  <c r="N28" i="2"/>
  <c r="N29" i="2"/>
  <c r="N30" i="2"/>
  <c r="O29" i="2" s="1"/>
  <c r="N31" i="2"/>
  <c r="N32" i="2"/>
  <c r="O32" i="2" s="1"/>
  <c r="N33" i="2"/>
  <c r="N34" i="2"/>
  <c r="N35" i="2"/>
  <c r="N36" i="2"/>
  <c r="O36" i="2" s="1"/>
  <c r="N37" i="2"/>
  <c r="N38" i="2"/>
  <c r="N39" i="2"/>
  <c r="N40" i="2"/>
  <c r="N41" i="2"/>
  <c r="N42" i="2"/>
  <c r="O40" i="2" s="1"/>
  <c r="N43" i="2"/>
  <c r="N2" i="2"/>
  <c r="P40" i="2"/>
  <c r="P36" i="2"/>
  <c r="P32" i="2"/>
  <c r="P25" i="2"/>
  <c r="P29" i="2"/>
  <c r="P22" i="2"/>
  <c r="P19" i="2"/>
  <c r="P16" i="2"/>
  <c r="O13" i="2"/>
  <c r="P13" i="2"/>
  <c r="P8" i="2"/>
  <c r="O8" i="2"/>
  <c r="P11" i="2"/>
  <c r="O11" i="2"/>
  <c r="P9" i="2"/>
  <c r="P6" i="2"/>
  <c r="P4" i="2"/>
  <c r="O4" i="2"/>
  <c r="O2" i="2"/>
  <c r="P2" i="2"/>
  <c r="Q3" i="1"/>
  <c r="Q4" i="1"/>
  <c r="Q5" i="1"/>
  <c r="Q6" i="1"/>
  <c r="Q7" i="1"/>
  <c r="Q8" i="1"/>
  <c r="Q9" i="1"/>
  <c r="Q10" i="1"/>
  <c r="Q11" i="1"/>
  <c r="Q12" i="1"/>
  <c r="Q13" i="1"/>
  <c r="Q14" i="1"/>
  <c r="Q15" i="1"/>
  <c r="Q16" i="1"/>
  <c r="Q17" i="1"/>
  <c r="Q18" i="1"/>
  <c r="Q19" i="1"/>
  <c r="Q20" i="1"/>
  <c r="Q21" i="1"/>
  <c r="Q22" i="1"/>
  <c r="Q23" i="1"/>
  <c r="Q24" i="1"/>
  <c r="Q25" i="1"/>
  <c r="Q26" i="1"/>
  <c r="Q27" i="1"/>
  <c r="Q2" i="1"/>
  <c r="O6" i="1"/>
  <c r="P6" i="1"/>
  <c r="P9" i="1"/>
  <c r="O9" i="1"/>
  <c r="P14" i="1"/>
  <c r="O14" i="1"/>
  <c r="P18" i="1"/>
  <c r="O18" i="1"/>
  <c r="P17" i="1"/>
  <c r="O17" i="1"/>
  <c r="P27" i="1"/>
  <c r="O27" i="1"/>
  <c r="P25" i="1"/>
  <c r="O25" i="1"/>
  <c r="P23" i="1"/>
  <c r="O23" i="1"/>
  <c r="P21" i="1"/>
  <c r="O21" i="1"/>
  <c r="P19" i="1"/>
  <c r="O19" i="1"/>
  <c r="P15" i="1"/>
  <c r="O15" i="1"/>
  <c r="P12" i="1"/>
  <c r="O12" i="1"/>
  <c r="P10" i="1"/>
  <c r="O10" i="1"/>
  <c r="P4" i="1"/>
  <c r="O4" i="1"/>
  <c r="P2" i="1"/>
  <c r="O2" i="1"/>
  <c r="N34" i="1"/>
  <c r="N33" i="1"/>
  <c r="N32" i="1"/>
  <c r="N31" i="1"/>
  <c r="N3" i="1"/>
  <c r="N4" i="1"/>
  <c r="N5" i="1"/>
  <c r="N6" i="1"/>
  <c r="N7" i="1"/>
  <c r="N8" i="1"/>
  <c r="N9" i="1"/>
  <c r="N10" i="1"/>
  <c r="N11" i="1"/>
  <c r="N12" i="1"/>
  <c r="N13" i="1"/>
  <c r="N14" i="1"/>
  <c r="N15" i="1"/>
  <c r="N16" i="1"/>
  <c r="N17" i="1"/>
  <c r="N18" i="1"/>
  <c r="N19" i="1"/>
  <c r="N20" i="1"/>
  <c r="N21" i="1"/>
  <c r="N22" i="1"/>
  <c r="N23" i="1"/>
  <c r="N24" i="1"/>
  <c r="N25" i="1"/>
  <c r="N26" i="1"/>
  <c r="N27" i="1"/>
  <c r="N2" i="1"/>
  <c r="F18" i="3" l="1"/>
  <c r="E20" i="3"/>
  <c r="E19" i="3"/>
  <c r="E18" i="3"/>
</calcChain>
</file>

<file path=xl/sharedStrings.xml><?xml version="1.0" encoding="utf-8"?>
<sst xmlns="http://schemas.openxmlformats.org/spreadsheetml/2006/main" count="973" uniqueCount="572">
  <si>
    <t>Timestamp</t>
  </si>
  <si>
    <t>TF Name</t>
  </si>
  <si>
    <t>Which group are you giving feedback to?</t>
  </si>
  <si>
    <t>Background: Understand the pathophysiology of a particular disease (5 pts)</t>
  </si>
  <si>
    <t>Comments</t>
  </si>
  <si>
    <t>Existing treatments: Research available treatment options and identify gaps (5 pts)</t>
  </si>
  <si>
    <t>Design of new solution (15 pts).</t>
  </si>
  <si>
    <t>Citations / Clarity of Report (5 pts).</t>
  </si>
  <si>
    <t>Overall comments to the team?</t>
  </si>
  <si>
    <t>Group #</t>
  </si>
  <si>
    <t>Jonathan Rubins</t>
  </si>
  <si>
    <t>ARVD therapy using mRNA (Isabelle, Justen, Han, Abhinga)</t>
  </si>
  <si>
    <t>Background is thorough and well researched.</t>
  </si>
  <si>
    <t>Explanation is through, however you need more than 1 citation for this section.</t>
  </si>
  <si>
    <t>Solution is feasible using existing technologies. Limitations are properly addressed.</t>
  </si>
  <si>
    <t>Over page limit, no need for abstract. Missing some citations in Existing Treatments.</t>
  </si>
  <si>
    <t>Linsey</t>
  </si>
  <si>
    <t xml:space="preserve">Nice inclusion of an abstract and problem statement.
</t>
  </si>
  <si>
    <t>Good, succinct overview of the main treatments of ARVD, but it would have been ideal to include more background on pros and cons of targeted gene delivery to the heart as well.</t>
  </si>
  <si>
    <t>Well referenced and sound approach.</t>
  </si>
  <si>
    <t>Some figures were too blurry to read. The report was easy to read and very well organized. The page limit was exceeded by a full page and went over by more than 200 words.</t>
  </si>
  <si>
    <t>Great work! Just too long.</t>
  </si>
  <si>
    <t>Armando Patino</t>
  </si>
  <si>
    <t>Asthma Detection (Giulia, Elena, Kaeo, Spencer)</t>
  </si>
  <si>
    <t>Great job team!</t>
  </si>
  <si>
    <t>Sarah Rose Odutola</t>
  </si>
  <si>
    <t>This is a very good background. The addition of a figure was a great choice that really aids the reader's comprehension. You clearly have a strong grasp on the pathophysiology of asthma. The only issue is that you did not really mention the demographics affected by asthma much at all.</t>
  </si>
  <si>
    <t>This is a great overview of asthma's treatment and diagnostic landscape. However, as your solution focuses on earlier diagnosis/monitoring, it would have made more sense to dedicate more time to talking about other monitoring tools and less time talking about therapies.</t>
  </si>
  <si>
    <t>This is incredible. The MATLAB simulation and GUI are the definition of going above and beyond. No notes!</t>
  </si>
  <si>
    <t>Your report was very easy to follow and understand. It felt like each section logically progressed to the next. I did not find any obvious grammar and spelling errors, and all of your figures were properly labelled. Also, I like how you included an abstract. Nice job!</t>
  </si>
  <si>
    <t>You should be very, very proud of what you all have accomplished with this final project. I am so impressed by all the time and dedication you devoted to getting this done and getting this done well. All the issues I found are minuscule because of the great work you did. I really do recommend that you continue working on this project. It's a great idea to say the least.</t>
  </si>
  <si>
    <t>Good background. It would help to talk specifically about the type of issue that your device will try to solve.</t>
  </si>
  <si>
    <t>Good summary/problem statement. It would be helpful to include other devices that are used to sense EMG of the diaphragm or other parts of the body even though they might not be used for asthma detection. What does the increased electrical activity of the diaphram look like on an EMG?</t>
  </si>
  <si>
    <t>Creative idea! How would you sense EMG from just the diaphragm without noise from other tissues/muscles? Multiple sensors were mentioned, but specifically which ones? There are lots of IMUs, lots of ways to detect HR, etc. What hardware would be used specifically? The coding aspect was very well done, but this report would have benefitted from more information on the feasibility of collecting clear enough signals with the hardware. If the data is too messy it doesn't if you're using ML or have amazing software.</t>
  </si>
  <si>
    <t>The report is clear. Citations for the hardware components would have been helpful.</t>
  </si>
  <si>
    <t>Great work!</t>
  </si>
  <si>
    <t>Biomaterial stents for coronary artery disease (Hailey, Lara, Evrim, Leticia)</t>
  </si>
  <si>
    <t>Thorough background on CAD.</t>
  </si>
  <si>
    <t>Thorough description, however only 3 citations.</t>
  </si>
  <si>
    <t>Design is feasible. This section could use a lot more text relative to the rest of the report - can you describe the microfabrication processes? Or profile of release kinetics? This section is also missing citations.</t>
  </si>
  <si>
    <t>Citations missing from Design of Solution.</t>
  </si>
  <si>
    <t>Good background, and great that you kept it succinct. It would benefit from a greater focus on the specific aspects of CAD that lead to the need for a stent.</t>
  </si>
  <si>
    <t>Good coverage.</t>
  </si>
  <si>
    <t>There are likely still some potential drawbacks, but this was very creative thoughtful. I'm not sure how it remains flexible if 3D printed.</t>
  </si>
  <si>
    <t>Easy to follow and well referenced.</t>
  </si>
  <si>
    <t>Norene Williams</t>
  </si>
  <si>
    <t>Biomaterials for knee and hip replacements (Anita, Monika, Marielle, Eleanor)</t>
  </si>
  <si>
    <t>Very detailed! I wish the figures were tied in a little more.</t>
  </si>
  <si>
    <t>Very good overall! The figures were missing labels/captions, but otherwise, it looked good.</t>
  </si>
  <si>
    <t>Nice job! Great description of osteoarthritis and examination of current treatments and their limitations!</t>
  </si>
  <si>
    <t>Great overview of the most common approaches to treatment/management. What about other materials that may be in pre-clinical or clinical trials?</t>
  </si>
  <si>
    <t>Creative solution!</t>
  </si>
  <si>
    <t>Well organized, but some fonts in the figures were too small.</t>
  </si>
  <si>
    <t>Norene</t>
  </si>
  <si>
    <t>Cardiac stents (Angelina, Tiyana, Drake, Cristian)</t>
  </si>
  <si>
    <t>very detailed!</t>
  </si>
  <si>
    <t>They could briefly touch on how screening is done currently!</t>
  </si>
  <si>
    <t>I wish there were more details on how the mask senses the VOCs. I also wish they unpacked their limitations more in terms of addressing the single-use nature of their design. Overall, they did a good job!</t>
  </si>
  <si>
    <t>I think the formatting was a little inconsistent, with some figures appearing in the body of the text and others in the appendix. There were a couple of grammatical errors throughout. Also, most of the paper was background information; there could have been more time spent detailing the solution! Also, they didn't follow the double-spaced, size 12 font requirement, and would be over the page limit if they had.</t>
  </si>
  <si>
    <t>Great job! I liked the connection to research at the Wyss Institute!</t>
  </si>
  <si>
    <t>Good focus on esophageal cancer. What are some of the VOCs specific to this type of cancer?</t>
  </si>
  <si>
    <t>Good, succinct overview, but this would have benefitted from more information about the specific VOCs and other types of tests done to confirm/detect this type of cancer as opposed to treatments.</t>
  </si>
  <si>
    <t>Creative idea. Good job including potential drawbacks.</t>
  </si>
  <si>
    <t>Easy to read and clear.</t>
  </si>
  <si>
    <t>Cardiovascular diseases (Shakira, Malaika, Daniel, Baharullah)</t>
  </si>
  <si>
    <t>Thorough background on progression of atherosclerosis and systemic impacts.</t>
  </si>
  <si>
    <t>Design is sound and well researched.</t>
  </si>
  <si>
    <t>Most citations in Background were the same as Existing Treatments - should diversify and have more than 6 total.</t>
  </si>
  <si>
    <t>Good summary. It would also help to have a more tailored section about the prevalence of the specific types of plaques you aim to treat.</t>
  </si>
  <si>
    <t>Succinct background is good, but it would help to understand other clinical or pre-clinical techniques to address the underlying issue. Would be best to mention how the same types of plaques are currently treated.</t>
  </si>
  <si>
    <t>It wasn't completely clear what was new, but it does seem to involve referenced IVUS technology that was potential for this application.</t>
  </si>
  <si>
    <t>Clear and easy to read.</t>
  </si>
  <si>
    <t>Great job!</t>
  </si>
  <si>
    <t>Dialysis for sepsis ('remove' infection with nanoparticles) (Alix, Andrew, Cameron, Nina)</t>
  </si>
  <si>
    <t>Clear and succinct. Nicely done.</t>
  </si>
  <si>
    <t>Good overview of Hemotune, but what other options are there? More details on other options would have helped support your later argument. 
The end of this section brings up a good point about cost, but then the new solution doesn't seem to address this.</t>
  </si>
  <si>
    <t>Creative idea. Not quite clear how the feedback loop would work. An appendix should not be required to understand some of the main features of the device. Otherwise, great idea.</t>
  </si>
  <si>
    <t>Well organized and clear. It would help to have a pros/cons summary table.</t>
  </si>
  <si>
    <t>Improved LVAD with coating to prevent infection (Ava, Nelli, Maryam, Catherine)</t>
  </si>
  <si>
    <t>I loved the figures that were included! There was a very high attention to detail for each component of the new solution.</t>
  </si>
  <si>
    <t>Amazing job! Very well-researched design with close attention to detail!</t>
  </si>
  <si>
    <t>Great background section on the issue and need for LVADs.</t>
  </si>
  <si>
    <t>This section would have benefitted from more information about other ways that these have been charged or other implanted devices that need to be charged.</t>
  </si>
  <si>
    <t>Well referenced and supported with science and literature. There may still be feasibility issues, but it was a great theoretical design.</t>
  </si>
  <si>
    <t>Very clear and organized. Some fonts in the figures were a little too small.</t>
  </si>
  <si>
    <t>Neuromuscular disease progression modeling (Ali, Jerry, Manuel, Defne)</t>
  </si>
  <si>
    <t>Thank you addressing limitations and challenges. I found the detailed stages very clear. I found it very helpful for you to include the dataset. After all, your proposal is bounded by the limitations of your data.</t>
  </si>
  <si>
    <t>Good problem statement.</t>
  </si>
  <si>
    <t>Good overview, but given that the problem is early detection this section should focus mostly on the ways that Parkinson's is currently diagnosed.</t>
  </si>
  <si>
    <t>Very creative approach, but it's not clear how costly this would be or how well people would stick to the tech required. Good job thinking through challenges.</t>
  </si>
  <si>
    <t>Well organized and easy to read.</t>
  </si>
  <si>
    <t>Pulomnary device (Hanah, Audre, Ian, Nicky)</t>
  </si>
  <si>
    <t>Good overview.</t>
  </si>
  <si>
    <t>Good overview. A review of some other localized delivery techniques would have been helpful.</t>
  </si>
  <si>
    <t>Lots of detail went into several aspects of the design. It's just not clear how this will be inserted and whether that risk is outweighed by the benefit given that this would be for pro-thrombogenic patients. How would a doctor know where to put the stent?</t>
  </si>
  <si>
    <t>Very well organized and clear. Great figures. Went over the page limit.</t>
  </si>
  <si>
    <t>Respiratory pacemaker for ALS (Stephen, Ella, Andrea, Peter)</t>
  </si>
  <si>
    <t>This part of your report is very well-written. Your exploration of pathogenetics was easy to follow and does a great job of laying the foundation for a basic understanding of ALS. One issue would be that possibly one more sentence could have been dedicated to demographics. The other more significant issue is that even though your entire report is centered on the respiratory failure caused by ALS, the background fails to focus on that aspect of the disease or even mention it. The background would be great for a report for a proposed solution meant to halt the progression of the disease. However, that is not what this paper is about.</t>
  </si>
  <si>
    <t>Great job! You clearly stated the problem you aim to solve as well as giving a succinct but efficient overview of the current treatment options.</t>
  </si>
  <si>
    <t>What a great idea! I love how multi-pronged it is, combining optogenetics with stem cell therapy. Biomedical engineering is at its best when it is interdisciplinary. Also, great attention to detail when it came to talking about the physical practicalities of your design! I think more time could have been spent talking about the disadvantages of your proposed solution (cost, time to reinnervate the diaphragm, etc.). I also think more effort could have been made to connect the advantages and disadvantages discussed in this section to the one's discussed in the existing treatment section. That is where you established the gap in the field, you need to be explicitly clear how you are going to fill the gap you established. Overall, great work all around!</t>
  </si>
  <si>
    <t>There were many grammatical errors, especially in the earlier sections. There were also some issues with the citations in the sense of where to put the number (before the punctuation or after the punctuation). It is super important to closely look over grammar before submitting anything.</t>
  </si>
  <si>
    <t>You all did a great job! It is clear you worked very hard on this. I genuinely enjoyed reading about your innovative solution and hope you continue working on it in some capacity. You should all feel proud of yourselves. The main takeaway I want to leave you with is that when submitting a group project, it should not read like different sections written by different people who have never seen what the other sections are writing about. In the world of scientific papers, continuity is king! Nevertheless, this is a very well done paper! I hope you enjoyed writing it as much as I enjoyed reading it.</t>
  </si>
  <si>
    <t>This is a well thought out proposal. Thank you for including a future directions paragraph. Great work!.</t>
  </si>
  <si>
    <t>Great background.</t>
  </si>
  <si>
    <t>Nice overview. A summary table would be helpful.</t>
  </si>
  <si>
    <t>Well referenced solution and creative! I'm still not sure how all of the right nerves will be excited, even with a cable - which I'd like would have issues with infection. Overall great idea!</t>
  </si>
  <si>
    <t>Figures should have captions. Otherwise this was easy to read and well referecnced!</t>
  </si>
  <si>
    <t>Sleep Tracking (Maddie, Milan, Zohaib, Martha)</t>
  </si>
  <si>
    <t>Well done! You did a great job of explaining the pathophysiology of ID in a way that directly relates to topics covered in the earlier modules of the class. However, there was little to mention of the demographics affected by the disease. However, more importantly, more time could have been spent explaining why stress-induced ID is such a dangerous condition. Mentioning the horrible downstream health effects of a severe lack of sleep should have been a key part of your background.</t>
  </si>
  <si>
    <t>You did a great job of succinctly describing the pros and cons of each available diagnostic option and then clearly highlighting the gap that your solution will address.</t>
  </si>
  <si>
    <t>Wow! This is such an innovative yet feasible solution to a serious problem. I really appreciate how you took factors like cost and physical design considerations into account and did not only address the issue theoretically. You clearly have a strong grasp on many of the modules covered in class.</t>
  </si>
  <si>
    <t>First off, your grammar and spelling were both flawless. It may seem like a small detail, but it truly elevates the quality of your work. The only issue is that your figure, which I found very helpful, was not labeled.</t>
  </si>
  <si>
    <t>You all did such a great job on this report. We really appreciate the time and effort you spent brainstorming, researching, and then writing this detailed yet comprehensible paper. Your multimodal is a great idea! Small notes would be to make sure that each section of your paper logically progresses to the next and that all figures are properly labelled. Also, you should become more comfortable using IEEE! All in all, you all did wonderful work here!</t>
  </si>
  <si>
    <t>This is great work! Thank you for addressing limitations and challenges.</t>
  </si>
  <si>
    <t>Good summary.</t>
  </si>
  <si>
    <t>A summary table would have been helpful here, but overall this was succinct and covered the main issues. A problem statement would also help.</t>
  </si>
  <si>
    <t>Creative multi-modality solution. It wasn't immediately clear how this would work or how useful the pressure sensor would be. If someone is still but wide awake will it sense that? Do you need EMG signals?</t>
  </si>
  <si>
    <t xml:space="preserve">Well organized and easy to read. IEEE formatting for citations should have been used. Figures should always have captions.
</t>
  </si>
  <si>
    <t>Solutions to ease symptoms of endiometriosis (Amy, Evelyn, Simran, Sophia)</t>
  </si>
  <si>
    <t>This section was really good! I wish there were more details about the use cases (like is this a device that you could walk around with)/where to place the device (on the lower abdomen or the lower back).</t>
  </si>
  <si>
    <t>A few grammatical errors throughout the paper, but looked great otherwise!</t>
  </si>
  <si>
    <t>Great job! Great in-depth research on endometriosis and the need for innovation!</t>
  </si>
  <si>
    <t>Good summary of the problem.</t>
  </si>
  <si>
    <t>Good summary of TENS and similar devices. This was well referenced.</t>
  </si>
  <si>
    <t>The solution was well referenced, but would have benefitted from more details on the feasibility of targeting the uterus.</t>
  </si>
  <si>
    <t>Targeted delivery of RNAi/mRNA using lipid nanoparticles (LNPs) to solid tumors (Julia, Chris, Henry, Noor)</t>
  </si>
  <si>
    <t>Thorough background on disease, however missing key sources. Demographics lacking as well.</t>
  </si>
  <si>
    <t>Identified standard of care and drawbacks.</t>
  </si>
  <si>
    <t>Proposal is sound and well researched. Appropriate caveats were addressed.</t>
  </si>
  <si>
    <t>Citations missing in the majority of background. Length is slightly over limit.</t>
  </si>
  <si>
    <t>Succinct background. Clearly described those affected.</t>
  </si>
  <si>
    <t>Good summary of current treatments. It would have been helpful to have a pros and cons table to summarize this. Your argument could have been stronger by adding information about the pros and cons of other delivery methods, although this was discussed somewhat in the following section.</t>
  </si>
  <si>
    <t>Well referenced and reasonably feasible. Creative, and well-thought out design.</t>
  </si>
  <si>
    <t>Very nice work. Some summary tables would be helpful. The page limit and word count was exceeded.</t>
  </si>
  <si>
    <t>This was really creative and well referenced. Nice work!</t>
  </si>
  <si>
    <t>Wound closure (Siya, Mischa, Chili, Angel)</t>
  </si>
  <si>
    <t>well done</t>
  </si>
  <si>
    <t>Good summary and table.</t>
  </si>
  <si>
    <t>Creative idea. What pressures would need to be withstood? It would have helped to tie this solution to the physical parameters needed for this to be effective. How would this be delivered.</t>
  </si>
  <si>
    <t>Nice work!</t>
  </si>
  <si>
    <t>Paragraphs should be indented.</t>
  </si>
  <si>
    <t>sum</t>
  </si>
  <si>
    <t>Description of medical need and pathophysiology (15 points).</t>
  </si>
  <si>
    <t>Background research of prior solutions/treatment (15 pts).</t>
  </si>
  <si>
    <t>Design of new solution (25pts)</t>
  </si>
  <si>
    <t>Clarity of presentation (15 pts)</t>
  </si>
  <si>
    <t>How does treating this type of cancer differ from others?</t>
  </si>
  <si>
    <t>Background is thorough, covers the current treatments and how they plan to intervene.</t>
  </si>
  <si>
    <t>Acknowledged difficulty in approaching drug development (especially high cost and over normalization). Overall design is sound based on previously approved drugs/protocols. Can you explore other conjugation protocols?</t>
  </si>
  <si>
    <t>Make sure to comment on all graphs/figures shown on slides.</t>
  </si>
  <si>
    <t>Good summary, and quick problem statement</t>
  </si>
  <si>
    <t>Good idea, but it was hard to fully understand the plan of action. A little too much time was spent on issues. More pictures would have helped demonstrate your plan.</t>
  </si>
  <si>
    <t>A little fast. Please use more schematics and less words.</t>
  </si>
  <si>
    <t>Would be better to make it more specific.</t>
  </si>
  <si>
    <t>Relevant, good.</t>
  </si>
  <si>
    <t>Nice addition of CAD. 
Very interesting solution. 
What pressure is necessary? Nice job using calculations to predict pressure necessary for individual patients. 
Good coverages of Pros and Cons</t>
  </si>
  <si>
    <t>Clear, but would be better to use fewer words.</t>
  </si>
  <si>
    <t>Good job answering question.</t>
  </si>
  <si>
    <t>Sufficient overview of obstructive coronary artery disease. What further issues does this cause systemically? Any stats on how many people require this type of intervention annually - cost to medical system?</t>
  </si>
  <si>
    <t>Explained value of stents over other existing treatments. Thorough overview of stent material state of the art. Limitation of requiring blood thinners.</t>
  </si>
  <si>
    <t>What is a "standard" lattice? Any concern with overpopulation of stent with SMC/EPCs? Can you elaborate on how this could become patient-specific? What are the disadvantages of your proposal, even if it works as expected with combination drug therapy?</t>
  </si>
  <si>
    <t>Minor errors in spelling/description</t>
  </si>
  <si>
    <t>Hayden Graham</t>
  </si>
  <si>
    <t>More info about who this affects (demographics) and extent of disease in the population would be beneficial.</t>
  </si>
  <si>
    <t>More clear display of current solutions (like a table) would have been helpful for showing pros and cons of each. Discussion of stent types was thorough..</t>
  </si>
  <si>
    <t>I liked the example scenario for demonstrating efficacy. Considers multiple organ systems (vascular and cardiac). Limitations seemed well thought out, and I appreciated that they acknowledged the need for continued statin/aspirin use.</t>
  </si>
  <si>
    <t>Nice presentation and good figures (would have have been nice for the labels in the main figure to be text rather than handwriting)</t>
  </si>
  <si>
    <t>Excellent work!</t>
  </si>
  <si>
    <t>Great clinical overview of atherosclerosis (mechanism, local effect, systemic effect, prevalence). Good mathematical explanation as well.</t>
  </si>
  <si>
    <t>Discussed limitations of current methods succinctly.</t>
  </si>
  <si>
    <t>Improve spatial resolution, differentiate between plaques. What other technologies use HIFU? Value of minimizing exposure to contrast. Do you envision this would be entirely point of care, or also preventative? Great overview of engineering challenges / feasibility / roadmap.
What are the risks of this device? How do you manage/remove the plaques once they are broken up?</t>
  </si>
  <si>
    <t>Clear and thorough. Demonstrated strong background knowledge during questioning.</t>
  </si>
  <si>
    <t>Well referenced background, but it would be best to have fewer words on the slide and more schematics. Would be best to focus the background that's most relevant to the specific problem that you're trying to resolve.</t>
  </si>
  <si>
    <t>Quick summary of procedrual and non-proceduarl interventions.</t>
  </si>
  <si>
    <t xml:space="preserve">It's not clear what's new. This already generally exists. How are you planning to get better images than what's currently available?
</t>
  </si>
  <si>
    <t>A bit wordy, but otherwise clear. 
Some of the references are a bit outdated. Did you find any articles that are more recent?</t>
  </si>
  <si>
    <t>Very clear multi-system effects and application of class concepts to physiological impact. A lot of information of slides, but didn't discuss most of the details and bullets.</t>
  </si>
  <si>
    <t>Thorough discussion of existing solutions, but the limitations could be displayed more clearly (for both CABG and IVUS separately)</t>
  </si>
  <si>
    <t>Well done with roadmap of development and engineering considerations.</t>
  </si>
  <si>
    <t>Slides are content heavy, which made the presentation harder to follow with the 6-minute format. I think more condensed information could have been helpful.</t>
  </si>
  <si>
    <t>Great scientific thinking and innovation! This was really cool.</t>
  </si>
  <si>
    <t>Justen did a great job of emphasizing the problem and who is affects.</t>
  </si>
  <si>
    <t xml:space="preserve">Symptom treatment is common, but not source. So they proposed potential gene targets. Good use of images to explain the problem at the cellular/sub-cellular. 
</t>
  </si>
  <si>
    <t>Looked at various options to deliver genes. 
Goal is to use a dendrimer with CRISPR/CAS9 to functionalize PKP2 gene. 
Well referenced solution, but figures would help make it more clear. 
Creative solution.</t>
  </si>
  <si>
    <t>Slightly wordy on some slides, but good use of images to show the problem and solution. Good emphasis to drive points home.</t>
  </si>
  <si>
    <t>Nice work, thorough.</t>
  </si>
  <si>
    <t>Great overview of stats. Identification of pathological genetic mutation.</t>
  </si>
  <si>
    <t>Demonstrated lack of targeted treatment - only symptom mitigation. Great overview of etiology.</t>
  </si>
  <si>
    <t>Discussed difficulty of delivery with conventional methods - justifies dendrimers. Showed delivery if siRNA to CMs, HEK KO, HDR.
Fabrication method is slightly unclear - how are you combining dendrimers with LNPs?
Why combine with LNPs if dendrimers can perform a similar function alone? What is the added benefit over LNP alone?
Good discussion of limitations.</t>
  </si>
  <si>
    <t>Great presentation.</t>
  </si>
  <si>
    <t>Good background, but spent a bit too much time here.</t>
  </si>
  <si>
    <t xml:space="preserve">Building off of a TENS device.
Interesting idea to detect the type of cramping - how feasible is this? How do you target uterus and not abdominal muscle. 
</t>
  </si>
  <si>
    <t>Good pacing and clarity.</t>
  </si>
  <si>
    <t>Very thorough background on etiology.</t>
  </si>
  <si>
    <t>Very thorough background on current treatments with associated pros and cons.</t>
  </si>
  <si>
    <t xml:space="preserve">EMG/TENS device - very doable as these are non invasive and widely used.
Disadvantages for daily use - sweating/movement?
</t>
  </si>
  <si>
    <t>Great slides.</t>
  </si>
  <si>
    <t>Background is clear and concise. The figure was helpful for visualizing the spoken dialogue. Impacted population and effects are well identified.</t>
  </si>
  <si>
    <t>Very clear current treatment discussion.</t>
  </si>
  <si>
    <t>I like the recording to detection to correction mechanism of the device-- does a good job combining multiple technologies. Advantages and disadvantages are well discussed. Well grounded in previous studies.</t>
  </si>
  <si>
    <t>Branding the product was cool!</t>
  </si>
  <si>
    <t>I would have liked to hear more about how TENS works to reduce pain at the nervous system level if there was time.</t>
  </si>
  <si>
    <t>Great overview of heart failure - stats, physiological effects.</t>
  </si>
  <si>
    <t>Explained progression to needing LVAD, drawbacks of LVAD itself. Sets background for why you would want to improve on existing tech rather than designing from scratch.</t>
  </si>
  <si>
    <t>Good overview of technical specifications. Multilayered coils are sound design choice. Nice approach to temperature minimization. Good use of constraints (i.e., federal guidelines). What is the minimum distance required between coils to avoid EM overlap?</t>
  </si>
  <si>
    <t>Very well presented, clear slides.</t>
  </si>
  <si>
    <t>Extent of disease of disease was well discussed.</t>
  </si>
  <si>
    <t>Good level of detail with existing solutions. This discussion motivated the need for your device by highlighting LVAD as the most feasible solution.</t>
  </si>
  <si>
    <t>Need for solution was made very clear. Key design innovations slide was great for showing how this device is novel.</t>
  </si>
  <si>
    <t>Presentation was easy to follow and information was displayed well.</t>
  </si>
  <si>
    <t>Appendix information was great for Q&amp;A.</t>
  </si>
  <si>
    <t>fast, but generally yes.</t>
  </si>
  <si>
    <t>fast paced, but good overview. I would use fewer words and more images. Well presented, and good emphasis used.</t>
  </si>
  <si>
    <t>good job highlighting key design innovations
How do you expect these changes to reach your power needs?
Good Q&amp;A.</t>
  </si>
  <si>
    <t>What is the specific unmet need?</t>
  </si>
  <si>
    <t>Good choice, but what are the specific criteria that you'd want this to meet? Where are these hydrogels already used? That would help support your design plan.</t>
  </si>
  <si>
    <t>Good pacing, use of images, and emphasis.</t>
  </si>
  <si>
    <t>Saron Meressi</t>
  </si>
  <si>
    <t>Great overview.</t>
  </si>
  <si>
    <t>Pros and cons weren't explained with much depth. Less text and more succinct comparisons (e.g. pro con table) would've made it easier to explain/present.</t>
  </si>
  <si>
    <t>pros and cons not addressed, questions from students were addressed very well</t>
  </si>
  <si>
    <t>some slides had too much text, one slide with lots of text being skipped altogether</t>
  </si>
  <si>
    <t>Great work</t>
  </si>
  <si>
    <t>Great demographic overview.
Pathophysiology - what other causes?</t>
  </si>
  <si>
    <t>Explained drawbacks of current methods. Could go into more depth on the mechanics of joint replacement, as this is the foundation of your technology - how do current materials perform under cyclical mechanical loading? Then compare your material to state of the art.</t>
  </si>
  <si>
    <t>Why does static have a higher yield than agitated? Is this normalized to culture area, medium volume?
Why is static better for the downstream application, if you are filling a non-uniform space?
Why replace PE liner? This should be mentioned in background (i.e., compression, tensile strength, stiffness)</t>
  </si>
  <si>
    <t>Great presentation, some information is presented out of order (see Design of new solution).</t>
  </si>
  <si>
    <t>Causes and demographics of the disease were well addressed.</t>
  </si>
  <si>
    <t>A chart format would have helped make the pros and cons more clear. I think it would have been useful to clarify from the start that your solution will build on the existing hip replacement option.</t>
  </si>
  <si>
    <t>What are the disadvantages of this solution? This was addressed in the Q&amp;A but would have been helpful to see on the slides.</t>
  </si>
  <si>
    <t>Well done! Graphics were great.</t>
  </si>
  <si>
    <t>All lung cancers? Some? What are the specific VOCs you'd try to detect?</t>
  </si>
  <si>
    <t>Good background.</t>
  </si>
  <si>
    <t>How sensitive would this be? What is the expected PPM?
I like the plan to make it a detector, not a diagnostic.</t>
  </si>
  <si>
    <t>Great slide design! Good emphasis while talking.</t>
  </si>
  <si>
    <t>Nice work.</t>
  </si>
  <si>
    <t>What is the specific disease you are targeting - lung cancer generally? What are VOCs? Background sets up good motivation but is missing some details.</t>
  </si>
  <si>
    <t>Focused on current standard in diagnostics.</t>
  </si>
  <si>
    <t>What is the overall workflow that your device fits into? Do you upload data daily, is the mask wireless? The COVID mask is colorimetric. How is it disposable? Consider cost.</t>
  </si>
  <si>
    <t>Clear slides and presentation.</t>
  </si>
  <si>
    <t>Good framing desire for a cancer equivalent of pregnancy/COVID tests.</t>
  </si>
  <si>
    <t>I like that you identified endoscopy as the gold standard, but with access and invasivity limitations. Are there any other symptoms that can be used to diagnose this cancer?</t>
  </si>
  <si>
    <t>Would have been good to clarify what molecules are being analyzed by the device. How are patients going to interact with this device? Are patients being tested annually at the doctor or is this product targeting at-risk patients?</t>
  </si>
  <si>
    <t>I think the first slides should have move explicitly said esophageal cancer is your focus-- that was not totally clear at first.</t>
  </si>
  <si>
    <t>Separation between the background and proposed solution would've helped the flow</t>
  </si>
  <si>
    <t>Better system diagram would've been helpful to understand all of the modules, a little confusing how each component came together, pros/cons and future considerations explained well!</t>
  </si>
  <si>
    <t>design slides were a little confusing</t>
  </si>
  <si>
    <t>Great job with pros/cons and future considerations!</t>
  </si>
  <si>
    <t>Reasonable</t>
  </si>
  <si>
    <t xml:space="preserve">Good explanation around why a tailored approach is needed. 
Would antibiotics be used in addition?
</t>
  </si>
  <si>
    <t>Good idea. Not quite clear how the feedback loop would work.</t>
  </si>
  <si>
    <t>Nicely done.</t>
  </si>
  <si>
    <t>Cytokine is pronounced with a long "I" sound, not "e."</t>
  </si>
  <si>
    <t>Good overview of sepsis and the severity of the condition.</t>
  </si>
  <si>
    <t>The presentation seemed to jump straight to Hemotune. Maybe discuss other solutions to sepsis like antibiotics and then focus on your specific contribution.</t>
  </si>
  <si>
    <t>The three steps outlined in the spoken presentation were really helpful-- I think this would have been great to put on the slides. Advantages/disadvantages could have been outlined more explicitly.</t>
  </si>
  <si>
    <t>I liked the analogy of IL6/IL10 with gas and brake pedal! Great job with the presentation design, it looked great!</t>
  </si>
  <si>
    <t>Good overview of stats and mechanism of sepsis.</t>
  </si>
  <si>
    <t>What about standard sepsis treatments like fluids, antibiotics, vasopreossors? What about standard high volume hemofiltration? Pros/cons of all of these.
Hemotune is not currently on the market.
What is Cytosorb treatment - is this part of Hemotune?</t>
  </si>
  <si>
    <t>Is the IL-6:IL-10 ratio a defined clinical biomarker? Either show reference for this or explain how plan to validate (i.e., in vitro, in vivo).
Faster measurement on chip - but does this differentiate between IL-6 vs. IL-10 binding? Or gross impedance changes from all binding? How do you determine a ratio from this measurement?
Ultimt</t>
  </si>
  <si>
    <t>Good overview</t>
  </si>
  <si>
    <t>Good overview of pros and cons, diagram had a lot going on that weren't fully explained.</t>
  </si>
  <si>
    <t>Very good explanation on how this integrated with existing designs, well-thought out solution and diagrams were explained fully. However, pros and cons of solution not discussed.</t>
  </si>
  <si>
    <t>Really innovative and well-thought out solution!</t>
  </si>
  <si>
    <t>very long background, could have been more concise to have more time on proposed solution</t>
  </si>
  <si>
    <t>pros and cons addressed, could have been presented a little bit better (tables), figures weren't explained</t>
  </si>
  <si>
    <t>well thought out</t>
  </si>
  <si>
    <t>More engagement with slides would've been helpful, especially with the many diagrams on the slides that weren't fully explained. Over time.</t>
  </si>
  <si>
    <t>Very well thought out, great job!</t>
  </si>
  <si>
    <t>Good overview. You could have shortened this a bit to focus on the primary issue that you're going to try to address. A lot of time was spent on downstream effects of hemorrhage.</t>
  </si>
  <si>
    <t>Gauze, tourniquet, but there are limitations. 
Still talking about these at 5:30</t>
  </si>
  <si>
    <t>Good problem statement. DASH-gel -</t>
  </si>
  <si>
    <t>Slides were a little busy. Would be best to use figures to show the process rather than so many words.</t>
  </si>
  <si>
    <t xml:space="preserve">It's hard to keep it to the time limit, but important to do so. 
</t>
  </si>
  <si>
    <t>Very thorough overview - could even be reduced to save time for explanation of design.</t>
  </si>
  <si>
    <t>Overview of mechanical and chemical solutions. Mentioned tourniquet, should show on slide.</t>
  </si>
  <si>
    <t>How do you plan to deliver both of these components in vivo, especially in a non-superficial wound? Is your mixing nozzle designed to be deployed in situ? How do you avoid systemic leaching?
Need fibrinogen in your chitosan canister for thrombin to cleave into fibrin, which then crosslinks chitosan (thrombin/chitosan will not do this alone). Are you relying on endogenous fibrinogen?</t>
  </si>
  <si>
    <t>Very well presented, clear.</t>
  </si>
  <si>
    <t>Very thorough description of disease and distinction between class 1-3 and class 4-5 hemorrhages. Maybe too much time spent on this section.</t>
  </si>
  <si>
    <t>Mechanical solutions like tourniquet were discussed but not listed on the slide.</t>
  </si>
  <si>
    <t>Cool mechanism! Missing multiple organ system component.</t>
  </si>
  <si>
    <t>Figures were great but slightly overwhelming on the slides.</t>
  </si>
  <si>
    <t>Quite over time on presentation.</t>
  </si>
  <si>
    <t>Described TNBC thoroughly -- identifying the causes and who is affected.</t>
  </si>
  <si>
    <t>Discussed why more targeted therapies are not possible for TNBC and why current therapies are undesirable (chemotherapy side effects)</t>
  </si>
  <si>
    <t>Very robust design, and I liked the flow chart showing the mechanism of action. Good work looking at physical constraints like blood flow.</t>
  </si>
  <si>
    <t>Great presentation-- easy to follow slides</t>
  </si>
  <si>
    <t>Well done!</t>
  </si>
  <si>
    <t>Great overview of PE etiology, stats, and downstream complications.</t>
  </si>
  <si>
    <t>Great job acquiring an expert opinion!
Very clear disadvantages - what are stats on success of current treatments?</t>
  </si>
  <si>
    <t>How do you determine where to deliver the stent, especially if this is prophylactic? Do you only give this to people with a previous PE?
What is the mechanism behind shear-activated release? Is it a bolus after a minimum threshold, or does it scale with increased shear?
If using the shearGel option, you are now avoiding shear-activated release all together? Or combination of shear-release and stabilized drug?</t>
  </si>
  <si>
    <t>Great presentation. Unclear what the final device construct is - stable drug in polymer, shear-activated release, or combination?</t>
  </si>
  <si>
    <t>Good background slide, clear need for fast solution</t>
  </si>
  <si>
    <t xml:space="preserve">Great to get the clinical perspective of the unmet need. 
Mechanism of action was discussed well, but the slide was a bit busy. 
How is the tPA delivered? From the particles?
Who would get this? Insertion is somewhat invasive. 
What side effects do you expect from blocking the vessel wall with the hydrogel?
Good recognition of its invasiveness. 
Could you achieve sufficient drug delivery to break up a clot?
</t>
  </si>
  <si>
    <t>Nicely done!</t>
  </si>
  <si>
    <t>They did really great! I felt as if the pathophysiology was described in a way that was easily digestible.</t>
  </si>
  <si>
    <t>They succinctly described the pros and cons of three different treatments. Also, it is super impressive that they were able to find time to do an interview with an expert in the field.</t>
  </si>
  <si>
    <t>I also really enjoyed this part of the presentation. However, I feel like they could have spent a bit more time explaining the disadvantages of their proposed solution.</t>
  </si>
  <si>
    <t>Some of the text, specifically on the figures, was too small.</t>
  </si>
  <si>
    <t>You all did such a great job! This is such a creative solution to an extremely pertinent problem. I was also impressed by how you answered all of the questions. Congrats!</t>
  </si>
  <si>
    <t>I liked how they did an interview with a med school professor to gain a better understanding of the disease and current treatments.</t>
  </si>
  <si>
    <t>I was a little confused about how the device does detection, but otherwise, their device research seemed pretty fleshed out. They did a good job of fielding some difficult questions from other teams.</t>
  </si>
  <si>
    <t>The bolded stats about PE caught my attention, very nice. The slides as well divided by disease complications and affected demographics.</t>
  </si>
  <si>
    <t>Current interventions table is very clear. SUPER cool that you included the expert interview.</t>
  </si>
  <si>
    <t>3D model helps visualize the device. Inclusion of the ShearGEL was a great way to address limitations of the product.</t>
  </si>
  <si>
    <t>Excellent slides! (And liked the team coordinated ES53 merch)</t>
  </si>
  <si>
    <t xml:space="preserve">Would be best to spend more time highlighting the prodromal indicators since that's what you're going to focus on later. 
</t>
  </si>
  <si>
    <t>What metrics and classification schemes already exist? Many of these scales exist for different neuromotor issues. How does yours compare?</t>
  </si>
  <si>
    <t>Quantitative approach is great, but would be helpful to understand more about the current scales that are used in diagnosis. Would this help detect? what is risk level critical to determine? What's</t>
  </si>
  <si>
    <t>Too many words for slide. Would be better to use more images.</t>
  </si>
  <si>
    <t>Good overview of etiology and stats.</t>
  </si>
  <si>
    <t>Focused on earlier-stage detection for early intervention, and where this proposal fits into the diagnostic model.</t>
  </si>
  <si>
    <t>How did you derive your probability model mathematically?
How will you convert training data into probability weights?
When would you employ these biomarker tests - in general population during physicals?
What are the drawbacks of pre-screening like this?</t>
  </si>
  <si>
    <t>Overall great presentation. Slides are text heavy - can be unclear where to focus.</t>
  </si>
  <si>
    <t>They did a great job! The main issue is that they should have used a diagram, like the one they had on the slide, to more clearly explain the background pathophysiology.</t>
  </si>
  <si>
    <t>They spent very little time on this part of the presentation. I believe it was so they would have more time to focus on their own solution, but it would have been helpful for the audience to better understand the current diagnostic landscape.</t>
  </si>
  <si>
    <t>Wow! This was an incredibly well-crafted solution to a very serious medical need. It is clear that you all put a lot of effort into designing this model. Great job!</t>
  </si>
  <si>
    <t>The slide design quality varied greatly from slide to slide. Truly, there should never be a wall of text on any of your slides. Also, some presenters seemed to be reading from the slides.</t>
  </si>
  <si>
    <t>You all did such a great job! You should be very proud of yourselves. The biggest issues came from your slide design, but that will improve with time and experience. Congrats!</t>
  </si>
  <si>
    <t>I don't think that they covered the advantages and disadvantages of their proposed solution. They did a good job of fielding difficult questions from classmates.</t>
  </si>
  <si>
    <t>Some of the slides were very wordy with a smaller font, but otherwise it looked consistent!</t>
  </si>
  <si>
    <t>ALS introduction included all the necessary statistics and focused on a specific element -- how the disease affects breathing.</t>
  </si>
  <si>
    <t>Current solutions are clearly structured with the basic solutions (ventilation -- invasive and non-invasive) and then ex[ands in to DPS systems, which are more advanced.</t>
  </si>
  <si>
    <t>Very logical progression to mechanism for the device. Rationale is highly grounded in the literature and your interview with the PhD student (super cool!)</t>
  </si>
  <si>
    <t>Excellent clarity-- the presentation was streamlined and easy-to-follow. Well done!</t>
  </si>
  <si>
    <t>Good job contextualizing the feasibility of this device and why it could be implemented in ALS patients.</t>
  </si>
  <si>
    <t>Good focus on ALS and breathing.</t>
  </si>
  <si>
    <t>Good focus on treatments focused on the breathing aspect. 
DPS (diaphragmatic pacemaker system) - Some pros and cons</t>
  </si>
  <si>
    <t xml:space="preserve">Optogenetics and stem cells
Good emphasis on on stem cell use. 
How do you ensure that stem cells will target the right tissue?
How do you get light into the diaphragm? Cable - ok, maybe, but aren't there issues with that too? 
Would be best to use references to support claims of growth for 1mm day. 
</t>
  </si>
  <si>
    <t>It is clear that you all have a great grasp on the pathophysiology of ALS. However, I would recommend using diagrams to more clearly share that information with your audience.</t>
  </si>
  <si>
    <t>The information on your slides was great! However, I think a more comprehensive summary of what was on the slides could have been conveyed in a similar amount of time.</t>
  </si>
  <si>
    <t>The information on your slides was great! However, I think a more comprehensive summary of what was on the slides could have been conveyed in a similar amount of time. I really loved the animation though!</t>
  </si>
  <si>
    <t>Most of the slides were great! However, sometimes the text was too small, and I feel like figures could have been better utilized. Also, I may be amiss here, but it looks like you did not have any citations on your slides.</t>
  </si>
  <si>
    <t>You all did such a great job on this presentation! It is clear that you all worked very hard on this, and I believe you all have bright futures as engineers! Some small issues were your slide design and the general sentiment that maybe more time could have been spent practicing this presentation together. Overall, you crushed it!</t>
  </si>
  <si>
    <t>Good description of how this intervention is most critical for preventing death in ALS patients.</t>
  </si>
  <si>
    <t xml:space="preserve">Why are DPS not recommended for ALS patients - what is the baseline issue that you are addressing here?
</t>
  </si>
  <si>
    <t>How do you differentiate PSC to neurons in situ? How do you avoid teratoma/off-target growth?
How do you deliver stem cells locally? Any worry about ectopic effects?</t>
  </si>
  <si>
    <t>Great slides and supporting animation.</t>
  </si>
  <si>
    <t>There were times when some team members jumped in and cut off others.</t>
  </si>
  <si>
    <t>This is a really cool idea!</t>
  </si>
  <si>
    <t>Addressed the causes, symptoms, and who is affected very clearly.</t>
  </si>
  <si>
    <t>Thorough and concise discussion of treatments and their advantage and drawbacks. I like that you discussed both solutions for treating asthma and detecting it.</t>
  </si>
  <si>
    <t>The simulation component was super cool and helped validate the feasibility of your device. And, good choice/rationale on the sleep apnea dataset selection.</t>
  </si>
  <si>
    <t>You did a great job balancing a large amount of detail within a short timeframe.</t>
  </si>
  <si>
    <t>Awesome job!</t>
  </si>
  <si>
    <t>Good overview of etiology and stats.
Can you list some of the genetic variants?
What are the downstream effects of asthma systemically?</t>
  </si>
  <si>
    <t>Great overview of current treatments and diagnostic tools, as well as associated drawbacks.</t>
  </si>
  <si>
    <t>Great job designing the model and validating with real patient data.
How does your model differentiate between say asthma and sleep apnea?
Acknowledgment of limitations such as sampling rate of device and regulatory approval for diagnostic device.</t>
  </si>
  <si>
    <t>Hard to see the graphs that underscore the main value of your model. The demo helped!</t>
  </si>
  <si>
    <t>Some of the figures could have been a little bigger</t>
  </si>
  <si>
    <t>The simulation was really impressive!</t>
  </si>
  <si>
    <t>I felt like the use of a case study was inspired. Great job!</t>
  </si>
  <si>
    <t>Peak flow meters and pulse oximetry are not treatments but diagnostic tools. However, I can see what you are getting at!</t>
  </si>
  <si>
    <t>The concept drawing was great! It is evident that a lot of literature review went into creating this presentation, and that does not go unnoticed. I also feel like you all had a strong grasp on the practical limitations of your solution which is critical.</t>
  </si>
  <si>
    <t>Practically all of the figures were too small. I am sure the information they convey was critical to your presentation, but there was no way that the audience could glean any information from them due to their size.</t>
  </si>
  <si>
    <t>This is such an impressive presentation! You all did a really great job. It is incredible that you took the time to make your own algorithm. Overall, the presentation went really well. The only small issue would be your slide design.</t>
  </si>
  <si>
    <t>Good overview. Could use fewer words and more/bigger figures.</t>
  </si>
  <si>
    <t xml:space="preserve">Good overview of existing treatments. 
Use bigger fonts. 
Good use of a takeaway at the bottom. 
</t>
  </si>
  <si>
    <t xml:space="preserve">Would MATLAB be best of real time processing? Wouldn't you want something that's on chip?
Used real "DREAMT" dataset - great relevance. 
Good point about artifacts EMG. 
Which of these sensors/data are mostly likely to lead to accurate detection?
Does the diaphragm move differently?
What is the most critical metric/data to detect?
It's just not clear how this would really sense data.
</t>
  </si>
  <si>
    <t>Succinct and pertinent</t>
  </si>
  <si>
    <t>Good summary table of other devices. 
Good summary of potential areas of improvement. Some fonts were too small.</t>
  </si>
  <si>
    <t>Interesting approach. All of these other measurements seem to come with their own challenges. 
I thought you were using a mattress to sense? How will this be better than the other wearables out there?</t>
  </si>
  <si>
    <t>Great slide layout, formatting, and organization. Some slides were wordy and figures/images may have helped emphasize your points better.</t>
  </si>
  <si>
    <t>Defined scope up front - focus on specific subset of insomnia.
What subset of 10% is stress-induced?
What are some of the biological mechanisms underpinning insomnia? Downstream physiological effects beyond lack of sleep?</t>
  </si>
  <si>
    <t>Great overview of state of the art and where you can improve.</t>
  </si>
  <si>
    <t>Great overview of selected biomarkers. Can you explain why you excluded others that are clinically backed?</t>
  </si>
  <si>
    <t>Slides are clear and well presented.</t>
  </si>
  <si>
    <t>Methodologies are well described. This slide looked great! I liked that you included the improvement potential information, but I think it could have been combined into the previous slide for better concision.</t>
  </si>
  <si>
    <t>While I think the biometric data addition is powerful, I think the device is still fairly similar to the current watches. A diagram on the device picture could be helpful too.</t>
  </si>
  <si>
    <t>I don't think that they covered the disadvantages of their solution.</t>
  </si>
  <si>
    <t>Great job! I think a bit more time could have been spent establishing medical need.</t>
  </si>
  <si>
    <t>This was very clearly conveyed. Great job!</t>
  </si>
  <si>
    <t>A lot of thought evidently went into your design! Your attention to detail is remarkable! However, unless I missed it, I do not believe you talked about the disadvantages of your solution.</t>
  </si>
  <si>
    <t>Great use of figures! However, it seems like you might have needed to practice the presentation more. With more practice, it becomes easier for everybody to communicate their points succinctly.</t>
  </si>
  <si>
    <t>You all did such a great job! What a creative solution to a very pressing need. The one thing that would have made this great presentation excellent would have been spending more time practicing.</t>
  </si>
  <si>
    <t>TFs</t>
  </si>
  <si>
    <t>Mean</t>
  </si>
  <si>
    <t>Diff</t>
  </si>
  <si>
    <t>Presentation</t>
  </si>
  <si>
    <t>Report</t>
  </si>
  <si>
    <t>Total</t>
  </si>
  <si>
    <t xml:space="preserve"> Chris</t>
  </si>
  <si>
    <t xml:space="preserve"> Henry</t>
  </si>
  <si>
    <t xml:space="preserve"> Noor)</t>
  </si>
  <si>
    <t xml:space="preserve"> Lara</t>
  </si>
  <si>
    <t xml:space="preserve"> Evrim</t>
  </si>
  <si>
    <t xml:space="preserve"> Leticia)</t>
  </si>
  <si>
    <t xml:space="preserve"> Malaika</t>
  </si>
  <si>
    <t xml:space="preserve"> Daniel</t>
  </si>
  <si>
    <t xml:space="preserve"> Baharullah)</t>
  </si>
  <si>
    <t xml:space="preserve"> Justen</t>
  </si>
  <si>
    <t xml:space="preserve"> Han</t>
  </si>
  <si>
    <t xml:space="preserve"> Abhinga)</t>
  </si>
  <si>
    <t xml:space="preserve"> Evelyn</t>
  </si>
  <si>
    <t xml:space="preserve"> Simran</t>
  </si>
  <si>
    <t xml:space="preserve"> Sophia)</t>
  </si>
  <si>
    <t xml:space="preserve"> Nelli</t>
  </si>
  <si>
    <t xml:space="preserve"> Maryam</t>
  </si>
  <si>
    <t xml:space="preserve"> Catherine)</t>
  </si>
  <si>
    <t xml:space="preserve"> Monika</t>
  </si>
  <si>
    <t xml:space="preserve"> Marielle</t>
  </si>
  <si>
    <t xml:space="preserve"> Eleanor)</t>
  </si>
  <si>
    <t xml:space="preserve"> Tiyana</t>
  </si>
  <si>
    <t xml:space="preserve"> Drake</t>
  </si>
  <si>
    <t xml:space="preserve"> Cristian)</t>
  </si>
  <si>
    <t xml:space="preserve"> Andrew</t>
  </si>
  <si>
    <t xml:space="preserve"> Cameron</t>
  </si>
  <si>
    <t xml:space="preserve"> Nina)</t>
  </si>
  <si>
    <t xml:space="preserve"> Mischa</t>
  </si>
  <si>
    <t xml:space="preserve"> Chili</t>
  </si>
  <si>
    <t xml:space="preserve"> Angel)</t>
  </si>
  <si>
    <t xml:space="preserve"> Audre</t>
  </si>
  <si>
    <t xml:space="preserve"> Ian</t>
  </si>
  <si>
    <t xml:space="preserve"> Nicky)</t>
  </si>
  <si>
    <t xml:space="preserve"> Jerry</t>
  </si>
  <si>
    <t xml:space="preserve"> Manuel</t>
  </si>
  <si>
    <t xml:space="preserve"> Defne)</t>
  </si>
  <si>
    <t xml:space="preserve"> Ella</t>
  </si>
  <si>
    <t xml:space="preserve"> Andrea</t>
  </si>
  <si>
    <t xml:space="preserve"> Peter)</t>
  </si>
  <si>
    <t xml:space="preserve"> Milan</t>
  </si>
  <si>
    <t xml:space="preserve"> Zohaib</t>
  </si>
  <si>
    <t xml:space="preserve"> Martha)</t>
  </si>
  <si>
    <t xml:space="preserve"> Elena</t>
  </si>
  <si>
    <t xml:space="preserve"> Kaeo</t>
  </si>
  <si>
    <t xml:space="preserve"> Spencer)</t>
  </si>
  <si>
    <t>Julia</t>
  </si>
  <si>
    <t>Hailey</t>
  </si>
  <si>
    <t>Shakira</t>
  </si>
  <si>
    <t>Isabelle</t>
  </si>
  <si>
    <t>Amy</t>
  </si>
  <si>
    <t>Ava</t>
  </si>
  <si>
    <t>Anita</t>
  </si>
  <si>
    <t>Angelina</t>
  </si>
  <si>
    <t>Alix</t>
  </si>
  <si>
    <t>Siya</t>
  </si>
  <si>
    <t>Hanah</t>
  </si>
  <si>
    <t>Stephen</t>
  </si>
  <si>
    <t>Maddie</t>
  </si>
  <si>
    <t>Giulia</t>
  </si>
  <si>
    <t>Inflated</t>
  </si>
  <si>
    <t>Abbas</t>
  </si>
  <si>
    <t>Zohaib</t>
  </si>
  <si>
    <t>Abdel-Azim</t>
  </si>
  <si>
    <t>Maryam</t>
  </si>
  <si>
    <t>Agarwal</t>
  </si>
  <si>
    <t>Ali</t>
  </si>
  <si>
    <t>Aronofsky</t>
  </si>
  <si>
    <t>Henry</t>
  </si>
  <si>
    <t>Bailey</t>
  </si>
  <si>
    <t>Barakett</t>
  </si>
  <si>
    <t>Peter</t>
  </si>
  <si>
    <t>Chung</t>
  </si>
  <si>
    <t>Han</t>
  </si>
  <si>
    <t>Comar</t>
  </si>
  <si>
    <t>Jerome</t>
  </si>
  <si>
    <t>Con</t>
  </si>
  <si>
    <t>Evrim</t>
  </si>
  <si>
    <t>Creighton</t>
  </si>
  <si>
    <t>Audrey</t>
  </si>
  <si>
    <t>Doan</t>
  </si>
  <si>
    <t>Spencer</t>
  </si>
  <si>
    <t>Dominguez</t>
  </si>
  <si>
    <t>Cristian</t>
  </si>
  <si>
    <t>Emnace</t>
  </si>
  <si>
    <t>Nina</t>
  </si>
  <si>
    <t>Fernandez Mollinedo</t>
  </si>
  <si>
    <t>Manuel</t>
  </si>
  <si>
    <t>Gathara</t>
  </si>
  <si>
    <t>Evelyn</t>
  </si>
  <si>
    <t>Gutierrez</t>
  </si>
  <si>
    <t>Angel</t>
  </si>
  <si>
    <t>Haideri</t>
  </si>
  <si>
    <t>Noor</t>
  </si>
  <si>
    <t>Hall-Nunez</t>
  </si>
  <si>
    <t>Hamid</t>
  </si>
  <si>
    <t>Malaika</t>
  </si>
  <si>
    <t>Hollins</t>
  </si>
  <si>
    <t>Drake</t>
  </si>
  <si>
    <t>Howlett</t>
  </si>
  <si>
    <t>Marielle</t>
  </si>
  <si>
    <t>Jeon</t>
  </si>
  <si>
    <t>Catherine</t>
  </si>
  <si>
    <t>Khan</t>
  </si>
  <si>
    <t>Sophia</t>
  </si>
  <si>
    <t>Kim</t>
  </si>
  <si>
    <t>le Huray</t>
  </si>
  <si>
    <t>Martha</t>
  </si>
  <si>
    <t>Lemus Rivera</t>
  </si>
  <si>
    <t>Liu</t>
  </si>
  <si>
    <t>Nicky</t>
  </si>
  <si>
    <t>Luciano</t>
  </si>
  <si>
    <t>Elena</t>
  </si>
  <si>
    <t>Maechler</t>
  </si>
  <si>
    <t>Mahin</t>
  </si>
  <si>
    <t>Baharullah</t>
  </si>
  <si>
    <t>Mallbris</t>
  </si>
  <si>
    <t>Mischa</t>
  </si>
  <si>
    <t>Mattox</t>
  </si>
  <si>
    <t>Tiyana</t>
  </si>
  <si>
    <t>McRitchie</t>
  </si>
  <si>
    <t>Ella</t>
  </si>
  <si>
    <t>Mizo</t>
  </si>
  <si>
    <t>Morrow</t>
  </si>
  <si>
    <t>Milan</t>
  </si>
  <si>
    <t>Neuner</t>
  </si>
  <si>
    <t>Nkera</t>
  </si>
  <si>
    <t>Eleanor</t>
  </si>
  <si>
    <t>Nystedt</t>
  </si>
  <si>
    <t>Andrea</t>
  </si>
  <si>
    <t>Park</t>
  </si>
  <si>
    <t>Ian</t>
  </si>
  <si>
    <t>Patel</t>
  </si>
  <si>
    <t>Pires</t>
  </si>
  <si>
    <t>Leticia</t>
  </si>
  <si>
    <t>Pramoda</t>
  </si>
  <si>
    <t>Chili</t>
  </si>
  <si>
    <t>Ramirez</t>
  </si>
  <si>
    <t>Daniel</t>
  </si>
  <si>
    <t>Rezic</t>
  </si>
  <si>
    <t>Monika</t>
  </si>
  <si>
    <t>Rodriguez</t>
  </si>
  <si>
    <t>Andrew</t>
  </si>
  <si>
    <t>Rojas-Cessa</t>
  </si>
  <si>
    <t>Nelli</t>
  </si>
  <si>
    <t>Sarram</t>
  </si>
  <si>
    <t>Sediqe</t>
  </si>
  <si>
    <t>Sirma</t>
  </si>
  <si>
    <t>Tamang</t>
  </si>
  <si>
    <t>Simran</t>
  </si>
  <si>
    <t>Tan</t>
  </si>
  <si>
    <t>Tiftikcioglu</t>
  </si>
  <si>
    <t>Defne</t>
  </si>
  <si>
    <t>Tureli</t>
  </si>
  <si>
    <t>Lara</t>
  </si>
  <si>
    <t>Viacava</t>
  </si>
  <si>
    <t>Walker</t>
  </si>
  <si>
    <t>Cameron</t>
  </si>
  <si>
    <t>Wen</t>
  </si>
  <si>
    <t>Justen</t>
  </si>
  <si>
    <t>Yella</t>
  </si>
  <si>
    <t>Abhigna</t>
  </si>
  <si>
    <t>Yuen</t>
  </si>
  <si>
    <t>Kaeo</t>
  </si>
  <si>
    <t>Zorn</t>
  </si>
  <si>
    <t>Christopher</t>
  </si>
  <si>
    <t>Abhinga</t>
  </si>
  <si>
    <t>Audre</t>
  </si>
  <si>
    <t>Catherine)</t>
  </si>
  <si>
    <t>Chris</t>
  </si>
  <si>
    <t>Jerry</t>
  </si>
  <si>
    <t>Martha)</t>
  </si>
  <si>
    <t>Nicky)</t>
  </si>
  <si>
    <t>Nina)</t>
  </si>
  <si>
    <t>Noor)</t>
  </si>
  <si>
    <t>Peter)</t>
  </si>
  <si>
    <t>Sophia)</t>
  </si>
  <si>
    <t>Spencer)</t>
  </si>
  <si>
    <t>Comar,Jerome Ariel</t>
  </si>
  <si>
    <t>Creighton,Audrey S</t>
  </si>
  <si>
    <t>Emnace,Nina Maria</t>
  </si>
  <si>
    <t>Fernández Mollinedo,Manuel</t>
  </si>
  <si>
    <t>Jeon,Catherine</t>
  </si>
  <si>
    <t>Nkera,Eleanor Christina</t>
  </si>
  <si>
    <t>Nystedt,Andrea</t>
  </si>
  <si>
    <t>Park,Ian Sung-Jae</t>
  </si>
  <si>
    <t>Tamang,Simran</t>
  </si>
  <si>
    <t>Tan,Angelina Hui-xin</t>
  </si>
  <si>
    <t>Tiftikcioglu,Defne Naz</t>
  </si>
  <si>
    <t>Didn't fill out the peer form</t>
  </si>
  <si>
    <t>Didn't contribute evenly to the group</t>
  </si>
  <si>
    <t>Original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</si>
</sst>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0"/>
      <color rgb="FFFFFFFF"/>
      <name val="Roboto"/>
    </font>
    <font>
      <sz val="10"/>
      <color rgb="FF434343"/>
      <name val="Roboto"/>
    </font>
    <font>
      <sz val="10"/>
      <color theme="1"/>
      <name val="Arial"/>
      <family val="2"/>
    </font>
  </fonts>
  <fills count="5">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s>
  <borders count="14">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s>
  <cellStyleXfs count="1">
    <xf numFmtId="0" fontId="0" fillId="0" borderId="0"/>
  </cellStyleXfs>
  <cellXfs count="31">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22" fontId="2" fillId="3" borderId="4" xfId="0" applyNumberFormat="1" applyFont="1" applyFill="1" applyBorder="1" applyAlignment="1">
      <alignment horizontal="right" vertical="center"/>
    </xf>
    <xf numFmtId="0" fontId="2" fillId="3" borderId="5" xfId="0" applyFont="1" applyFill="1" applyBorder="1" applyAlignment="1">
      <alignment vertical="center"/>
    </xf>
    <xf numFmtId="0" fontId="2" fillId="3" borderId="5" xfId="0" applyFont="1" applyFill="1" applyBorder="1" applyAlignment="1">
      <alignment horizontal="right" vertical="center"/>
    </xf>
    <xf numFmtId="0" fontId="3" fillId="3" borderId="5" xfId="0" applyFont="1" applyFill="1" applyBorder="1" applyAlignment="1">
      <alignment vertical="center"/>
    </xf>
    <xf numFmtId="0" fontId="3" fillId="3" borderId="6" xfId="0" applyFont="1" applyFill="1" applyBorder="1" applyAlignment="1">
      <alignment vertical="center"/>
    </xf>
    <xf numFmtId="22" fontId="2" fillId="4" borderId="7" xfId="0" applyNumberFormat="1" applyFont="1" applyFill="1" applyBorder="1" applyAlignment="1">
      <alignment horizontal="right" vertical="center"/>
    </xf>
    <xf numFmtId="0" fontId="2" fillId="4" borderId="8" xfId="0" applyFont="1" applyFill="1" applyBorder="1" applyAlignment="1">
      <alignment vertical="center"/>
    </xf>
    <xf numFmtId="0" fontId="2" fillId="4" borderId="8" xfId="0" applyFont="1" applyFill="1" applyBorder="1" applyAlignment="1">
      <alignment horizontal="right" vertical="center"/>
    </xf>
    <xf numFmtId="0" fontId="3" fillId="4" borderId="6" xfId="0" applyFont="1" applyFill="1" applyBorder="1" applyAlignment="1">
      <alignment vertical="center"/>
    </xf>
    <xf numFmtId="0" fontId="3" fillId="4" borderId="8" xfId="0" applyFont="1" applyFill="1" applyBorder="1" applyAlignment="1">
      <alignment vertical="center"/>
    </xf>
    <xf numFmtId="22" fontId="2" fillId="4" borderId="9" xfId="0" applyNumberFormat="1" applyFont="1" applyFill="1" applyBorder="1" applyAlignment="1">
      <alignment horizontal="right" vertical="center"/>
    </xf>
    <xf numFmtId="0" fontId="2" fillId="4" borderId="10" xfId="0" applyFont="1" applyFill="1" applyBorder="1" applyAlignment="1">
      <alignment vertical="center"/>
    </xf>
    <xf numFmtId="0" fontId="2" fillId="4" borderId="10" xfId="0" applyFont="1" applyFill="1" applyBorder="1" applyAlignment="1">
      <alignment horizontal="right" vertical="center"/>
    </xf>
    <xf numFmtId="0" fontId="2" fillId="3" borderId="6" xfId="0" applyFont="1" applyFill="1" applyBorder="1" applyAlignment="1">
      <alignment vertical="center"/>
    </xf>
    <xf numFmtId="22" fontId="2" fillId="3" borderId="12" xfId="0" applyNumberFormat="1" applyFont="1" applyFill="1" applyBorder="1" applyAlignment="1">
      <alignment horizontal="right" vertical="center"/>
    </xf>
    <xf numFmtId="0" fontId="2" fillId="3" borderId="13" xfId="0" applyFont="1" applyFill="1" applyBorder="1" applyAlignment="1">
      <alignment vertical="center"/>
    </xf>
    <xf numFmtId="0" fontId="2" fillId="3" borderId="13" xfId="0" applyFont="1" applyFill="1" applyBorder="1" applyAlignment="1">
      <alignment horizontal="right" vertical="center"/>
    </xf>
    <xf numFmtId="22" fontId="2" fillId="4" borderId="4" xfId="0" applyNumberFormat="1" applyFont="1" applyFill="1" applyBorder="1" applyAlignment="1">
      <alignment horizontal="right" vertical="center"/>
    </xf>
    <xf numFmtId="22" fontId="2" fillId="3" borderId="7" xfId="0" applyNumberFormat="1" applyFont="1" applyFill="1" applyBorder="1" applyAlignment="1">
      <alignment horizontal="right" vertical="center"/>
    </xf>
    <xf numFmtId="0" fontId="2" fillId="4" borderId="5" xfId="0" applyFont="1" applyFill="1" applyBorder="1" applyAlignment="1">
      <alignment vertical="center"/>
    </xf>
    <xf numFmtId="0" fontId="2" fillId="3" borderId="8" xfId="0" applyFont="1" applyFill="1" applyBorder="1" applyAlignment="1">
      <alignment vertical="center"/>
    </xf>
    <xf numFmtId="0" fontId="2" fillId="4" borderId="5" xfId="0" applyFont="1" applyFill="1" applyBorder="1" applyAlignment="1">
      <alignment horizontal="right" vertical="center"/>
    </xf>
    <xf numFmtId="0" fontId="2" fillId="3" borderId="8" xfId="0" applyFont="1" applyFill="1" applyBorder="1" applyAlignment="1">
      <alignment horizontal="right" vertical="center"/>
    </xf>
    <xf numFmtId="0" fontId="3" fillId="4" borderId="5" xfId="0" applyFont="1" applyFill="1" applyBorder="1" applyAlignment="1">
      <alignment vertical="center"/>
    </xf>
    <xf numFmtId="0" fontId="3" fillId="3" borderId="8" xfId="0" applyFont="1" applyFill="1" applyBorder="1" applyAlignment="1">
      <alignment vertical="center"/>
    </xf>
    <xf numFmtId="0" fontId="3" fillId="3" borderId="11" xfId="0" applyFont="1" applyFill="1" applyBorder="1" applyAlignment="1">
      <alignment vertical="center"/>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
  <sheetViews>
    <sheetView topLeftCell="B19" zoomScale="85" zoomScaleNormal="85" workbookViewId="0">
      <selection activeCell="Q27" sqref="O2:Q27"/>
    </sheetView>
  </sheetViews>
  <sheetFormatPr defaultColWidth="11" defaultRowHeight="27" customHeight="1" x14ac:dyDescent="0.3"/>
  <cols>
    <col min="3" max="3" width="19.109375" customWidth="1"/>
  </cols>
  <sheetData>
    <row r="1" spans="1:17" ht="27" customHeight="1" thickBot="1" x14ac:dyDescent="0.35">
      <c r="A1" s="1" t="s">
        <v>0</v>
      </c>
      <c r="B1" s="2" t="s">
        <v>1</v>
      </c>
      <c r="C1" s="2" t="s">
        <v>2</v>
      </c>
      <c r="D1" s="2" t="s">
        <v>3</v>
      </c>
      <c r="E1" s="2" t="s">
        <v>4</v>
      </c>
      <c r="F1" s="2" t="s">
        <v>5</v>
      </c>
      <c r="G1" s="2" t="s">
        <v>4</v>
      </c>
      <c r="H1" s="2" t="s">
        <v>6</v>
      </c>
      <c r="I1" s="2" t="s">
        <v>4</v>
      </c>
      <c r="J1" s="2" t="s">
        <v>7</v>
      </c>
      <c r="K1" s="2" t="s">
        <v>4</v>
      </c>
      <c r="L1" s="2" t="s">
        <v>8</v>
      </c>
      <c r="M1" s="2" t="s">
        <v>9</v>
      </c>
      <c r="N1" s="3" t="s">
        <v>141</v>
      </c>
    </row>
    <row r="2" spans="1:17" ht="27" customHeight="1" thickBot="1" x14ac:dyDescent="0.35">
      <c r="A2" s="4">
        <v>46005.741851851853</v>
      </c>
      <c r="B2" s="5" t="s">
        <v>10</v>
      </c>
      <c r="C2" s="5" t="s">
        <v>11</v>
      </c>
      <c r="D2" s="6">
        <v>10</v>
      </c>
      <c r="E2" s="5" t="s">
        <v>12</v>
      </c>
      <c r="F2" s="6">
        <v>7</v>
      </c>
      <c r="G2" s="5" t="s">
        <v>13</v>
      </c>
      <c r="H2" s="6">
        <v>10</v>
      </c>
      <c r="I2" s="5" t="s">
        <v>14</v>
      </c>
      <c r="J2" s="6">
        <v>6</v>
      </c>
      <c r="K2" s="5" t="s">
        <v>15</v>
      </c>
      <c r="L2" s="7"/>
      <c r="M2" s="6">
        <v>4</v>
      </c>
      <c r="N2" s="8">
        <f>D2/10*5+F2/10*5+H2/10*15+J2/10*5</f>
        <v>26.5</v>
      </c>
      <c r="O2">
        <f>AVERAGE(N2:N3)</f>
        <v>26.75</v>
      </c>
      <c r="P2" s="5" t="str">
        <f>C2</f>
        <v>ARVD therapy using mRNA (Isabelle, Justen, Han, Abhinga)</v>
      </c>
      <c r="Q2">
        <f>M2</f>
        <v>4</v>
      </c>
    </row>
    <row r="3" spans="1:17" ht="27" customHeight="1" thickBot="1" x14ac:dyDescent="0.35">
      <c r="A3" s="9">
        <v>46007.840509259258</v>
      </c>
      <c r="B3" s="10" t="s">
        <v>16</v>
      </c>
      <c r="C3" s="10" t="s">
        <v>11</v>
      </c>
      <c r="D3" s="11">
        <v>9</v>
      </c>
      <c r="E3" s="10" t="s">
        <v>17</v>
      </c>
      <c r="F3" s="11">
        <v>8</v>
      </c>
      <c r="G3" s="10" t="s">
        <v>18</v>
      </c>
      <c r="H3" s="11">
        <v>10</v>
      </c>
      <c r="I3" s="10" t="s">
        <v>19</v>
      </c>
      <c r="J3" s="11">
        <v>7</v>
      </c>
      <c r="K3" s="10" t="s">
        <v>20</v>
      </c>
      <c r="L3" s="10" t="s">
        <v>21</v>
      </c>
      <c r="M3" s="11">
        <v>4</v>
      </c>
      <c r="N3" s="8">
        <f t="shared" ref="N3:N27" si="0">D3/10*5+F3/10*5+H3/10*15+J3/10*5</f>
        <v>27</v>
      </c>
      <c r="Q3">
        <f t="shared" ref="Q3:Q27" si="1">M3</f>
        <v>4</v>
      </c>
    </row>
    <row r="4" spans="1:17" ht="27" customHeight="1" thickBot="1" x14ac:dyDescent="0.35">
      <c r="A4" s="9">
        <v>46006.527766203704</v>
      </c>
      <c r="B4" s="10" t="s">
        <v>25</v>
      </c>
      <c r="C4" s="10" t="s">
        <v>23</v>
      </c>
      <c r="D4" s="11">
        <v>9</v>
      </c>
      <c r="E4" s="10" t="s">
        <v>26</v>
      </c>
      <c r="F4" s="11">
        <v>8</v>
      </c>
      <c r="G4" s="10" t="s">
        <v>27</v>
      </c>
      <c r="H4" s="11">
        <v>10</v>
      </c>
      <c r="I4" s="10" t="s">
        <v>28</v>
      </c>
      <c r="J4" s="11">
        <v>10</v>
      </c>
      <c r="K4" s="10" t="s">
        <v>29</v>
      </c>
      <c r="L4" s="10" t="s">
        <v>30</v>
      </c>
      <c r="M4" s="11">
        <v>15</v>
      </c>
      <c r="N4" s="8">
        <f t="shared" si="0"/>
        <v>28.5</v>
      </c>
      <c r="O4">
        <f>AVERAGE(N4:N5)</f>
        <v>26.5</v>
      </c>
      <c r="P4" s="5" t="str">
        <f>C4</f>
        <v>Asthma Detection (Giulia, Elena, Kaeo, Spencer)</v>
      </c>
      <c r="Q4">
        <f t="shared" si="1"/>
        <v>15</v>
      </c>
    </row>
    <row r="5" spans="1:17" ht="27" customHeight="1" thickBot="1" x14ac:dyDescent="0.35">
      <c r="A5" s="4">
        <v>46007.903900462959</v>
      </c>
      <c r="B5" s="5" t="s">
        <v>16</v>
      </c>
      <c r="C5" s="5" t="s">
        <v>23</v>
      </c>
      <c r="D5" s="6">
        <v>8</v>
      </c>
      <c r="E5" s="5" t="s">
        <v>31</v>
      </c>
      <c r="F5" s="6">
        <v>8</v>
      </c>
      <c r="G5" s="5" t="s">
        <v>32</v>
      </c>
      <c r="H5" s="6">
        <v>8</v>
      </c>
      <c r="I5" s="5" t="s">
        <v>33</v>
      </c>
      <c r="J5" s="6">
        <v>9</v>
      </c>
      <c r="K5" s="5" t="s">
        <v>34</v>
      </c>
      <c r="L5" s="5" t="s">
        <v>35</v>
      </c>
      <c r="M5" s="6">
        <v>15</v>
      </c>
      <c r="N5" s="8">
        <f t="shared" si="0"/>
        <v>24.5</v>
      </c>
      <c r="Q5">
        <f t="shared" si="1"/>
        <v>15</v>
      </c>
    </row>
    <row r="6" spans="1:17" ht="27" customHeight="1" thickBot="1" x14ac:dyDescent="0.35">
      <c r="A6" s="9">
        <v>46005.731458333335</v>
      </c>
      <c r="B6" s="10" t="s">
        <v>10</v>
      </c>
      <c r="C6" s="10" t="s">
        <v>36</v>
      </c>
      <c r="D6" s="11">
        <v>10</v>
      </c>
      <c r="E6" s="10" t="s">
        <v>37</v>
      </c>
      <c r="F6" s="11">
        <v>8</v>
      </c>
      <c r="G6" s="10" t="s">
        <v>38</v>
      </c>
      <c r="H6" s="11">
        <v>7</v>
      </c>
      <c r="I6" s="10" t="s">
        <v>39</v>
      </c>
      <c r="J6" s="11">
        <v>8</v>
      </c>
      <c r="K6" s="10" t="s">
        <v>40</v>
      </c>
      <c r="L6" s="13"/>
      <c r="M6" s="11">
        <v>2</v>
      </c>
      <c r="N6" s="8">
        <f t="shared" si="0"/>
        <v>23.5</v>
      </c>
      <c r="O6">
        <f>AVERAGE(N6:N8)</f>
        <v>25.833333333333332</v>
      </c>
      <c r="P6" s="5" t="str">
        <f>C6</f>
        <v>Biomaterial stents for coronary artery disease (Hailey, Lara, Evrim, Leticia)</v>
      </c>
      <c r="Q6">
        <f t="shared" si="1"/>
        <v>2</v>
      </c>
    </row>
    <row r="7" spans="1:17" ht="27" customHeight="1" thickBot="1" x14ac:dyDescent="0.35">
      <c r="A7" s="4">
        <v>46007.655173611114</v>
      </c>
      <c r="B7" s="5" t="s">
        <v>16</v>
      </c>
      <c r="C7" s="5" t="s">
        <v>36</v>
      </c>
      <c r="D7" s="6">
        <v>8</v>
      </c>
      <c r="E7" s="5" t="s">
        <v>41</v>
      </c>
      <c r="F7" s="6">
        <v>9</v>
      </c>
      <c r="G7" s="5" t="s">
        <v>42</v>
      </c>
      <c r="H7" s="6">
        <v>9</v>
      </c>
      <c r="I7" s="5" t="s">
        <v>43</v>
      </c>
      <c r="J7" s="6">
        <v>9</v>
      </c>
      <c r="K7" s="5" t="s">
        <v>44</v>
      </c>
      <c r="L7" s="5" t="s">
        <v>35</v>
      </c>
      <c r="M7" s="6">
        <v>2</v>
      </c>
      <c r="N7" s="8">
        <f t="shared" si="0"/>
        <v>26.5</v>
      </c>
      <c r="Q7">
        <f t="shared" si="1"/>
        <v>2</v>
      </c>
    </row>
    <row r="8" spans="1:17" ht="27" customHeight="1" thickBot="1" x14ac:dyDescent="0.35">
      <c r="A8" s="9">
        <v>46005.925358796296</v>
      </c>
      <c r="B8" s="10" t="s">
        <v>45</v>
      </c>
      <c r="C8" s="10" t="s">
        <v>46</v>
      </c>
      <c r="D8" s="11">
        <v>10</v>
      </c>
      <c r="E8" s="13"/>
      <c r="F8" s="11">
        <v>10</v>
      </c>
      <c r="G8" s="13"/>
      <c r="H8" s="11">
        <v>9</v>
      </c>
      <c r="I8" s="10" t="s">
        <v>47</v>
      </c>
      <c r="J8" s="11">
        <v>8</v>
      </c>
      <c r="K8" s="10" t="s">
        <v>48</v>
      </c>
      <c r="L8" s="10" t="s">
        <v>49</v>
      </c>
      <c r="M8" s="11">
        <v>2</v>
      </c>
      <c r="N8" s="8">
        <f t="shared" si="0"/>
        <v>27.5</v>
      </c>
      <c r="Q8">
        <f t="shared" si="1"/>
        <v>2</v>
      </c>
    </row>
    <row r="9" spans="1:17" ht="27" customHeight="1" thickBot="1" x14ac:dyDescent="0.35">
      <c r="A9" s="4">
        <v>46007.850925925923</v>
      </c>
      <c r="B9" s="5" t="s">
        <v>16</v>
      </c>
      <c r="C9" s="5" t="s">
        <v>46</v>
      </c>
      <c r="D9" s="6">
        <v>9</v>
      </c>
      <c r="E9" s="7"/>
      <c r="F9" s="6">
        <v>9</v>
      </c>
      <c r="G9" s="5" t="s">
        <v>50</v>
      </c>
      <c r="H9" s="6">
        <v>9</v>
      </c>
      <c r="I9" s="5" t="s">
        <v>51</v>
      </c>
      <c r="J9" s="6">
        <v>8</v>
      </c>
      <c r="K9" s="5" t="s">
        <v>52</v>
      </c>
      <c r="L9" s="7"/>
      <c r="M9" s="6">
        <v>7</v>
      </c>
      <c r="N9" s="8">
        <f t="shared" si="0"/>
        <v>26.5</v>
      </c>
      <c r="O9">
        <f>N9</f>
        <v>26.5</v>
      </c>
      <c r="P9" s="5" t="str">
        <f>C9</f>
        <v>Biomaterials for knee and hip replacements (Anita, Monika, Marielle, Eleanor)</v>
      </c>
      <c r="Q9">
        <f t="shared" si="1"/>
        <v>7</v>
      </c>
    </row>
    <row r="10" spans="1:17" ht="27" customHeight="1" thickBot="1" x14ac:dyDescent="0.35">
      <c r="A10" s="9">
        <v>46005.945798611108</v>
      </c>
      <c r="B10" s="10" t="s">
        <v>53</v>
      </c>
      <c r="C10" s="10" t="s">
        <v>54</v>
      </c>
      <c r="D10" s="11">
        <v>10</v>
      </c>
      <c r="E10" s="10" t="s">
        <v>55</v>
      </c>
      <c r="F10" s="11">
        <v>9</v>
      </c>
      <c r="G10" s="10" t="s">
        <v>56</v>
      </c>
      <c r="H10" s="11">
        <v>7</v>
      </c>
      <c r="I10" s="10" t="s">
        <v>57</v>
      </c>
      <c r="J10" s="11">
        <v>7</v>
      </c>
      <c r="K10" s="10" t="s">
        <v>58</v>
      </c>
      <c r="L10" s="10" t="s">
        <v>59</v>
      </c>
      <c r="M10" s="11">
        <v>8</v>
      </c>
      <c r="N10" s="8">
        <f t="shared" si="0"/>
        <v>23.5</v>
      </c>
      <c r="O10">
        <f>AVERAGE(N10:N11)</f>
        <v>24.25</v>
      </c>
      <c r="P10" s="5" t="str">
        <f>C10</f>
        <v>Cardiac stents (Angelina, Tiyana, Drake, Cristian)</v>
      </c>
      <c r="Q10">
        <f t="shared" si="1"/>
        <v>8</v>
      </c>
    </row>
    <row r="11" spans="1:17" ht="27" customHeight="1" thickBot="1" x14ac:dyDescent="0.35">
      <c r="A11" s="4">
        <v>46007.855555555558</v>
      </c>
      <c r="B11" s="5" t="s">
        <v>16</v>
      </c>
      <c r="C11" s="5" t="s">
        <v>54</v>
      </c>
      <c r="D11" s="6">
        <v>9</v>
      </c>
      <c r="E11" s="5" t="s">
        <v>60</v>
      </c>
      <c r="F11" s="6">
        <v>8</v>
      </c>
      <c r="G11" s="5" t="s">
        <v>61</v>
      </c>
      <c r="H11" s="6">
        <v>8</v>
      </c>
      <c r="I11" s="5" t="s">
        <v>62</v>
      </c>
      <c r="J11" s="6">
        <v>9</v>
      </c>
      <c r="K11" s="5" t="s">
        <v>63</v>
      </c>
      <c r="L11" s="5" t="s">
        <v>35</v>
      </c>
      <c r="M11" s="6">
        <v>8</v>
      </c>
      <c r="N11" s="8">
        <f t="shared" si="0"/>
        <v>25</v>
      </c>
      <c r="Q11">
        <f t="shared" si="1"/>
        <v>8</v>
      </c>
    </row>
    <row r="12" spans="1:17" ht="27" customHeight="1" thickBot="1" x14ac:dyDescent="0.35">
      <c r="A12" s="9">
        <v>46005.736446759256</v>
      </c>
      <c r="B12" s="10" t="s">
        <v>10</v>
      </c>
      <c r="C12" s="10" t="s">
        <v>64</v>
      </c>
      <c r="D12" s="11">
        <v>10</v>
      </c>
      <c r="E12" s="10" t="s">
        <v>65</v>
      </c>
      <c r="F12" s="11">
        <v>10</v>
      </c>
      <c r="G12" s="13"/>
      <c r="H12" s="11">
        <v>10</v>
      </c>
      <c r="I12" s="10" t="s">
        <v>66</v>
      </c>
      <c r="J12" s="11">
        <v>9</v>
      </c>
      <c r="K12" s="10" t="s">
        <v>67</v>
      </c>
      <c r="L12" s="13"/>
      <c r="M12" s="11">
        <v>3</v>
      </c>
      <c r="N12" s="8">
        <f t="shared" si="0"/>
        <v>29.5</v>
      </c>
      <c r="O12">
        <f>AVERAGE(N12:N13)</f>
        <v>26.75</v>
      </c>
      <c r="P12" s="5" t="str">
        <f>C12</f>
        <v>Cardiovascular diseases (Shakira, Malaika, Daniel, Baharullah)</v>
      </c>
      <c r="Q12">
        <f t="shared" si="1"/>
        <v>3</v>
      </c>
    </row>
    <row r="13" spans="1:17" ht="27" customHeight="1" thickBot="1" x14ac:dyDescent="0.35">
      <c r="A13" s="4">
        <v>46007.659317129626</v>
      </c>
      <c r="B13" s="5" t="s">
        <v>16</v>
      </c>
      <c r="C13" s="5" t="s">
        <v>64</v>
      </c>
      <c r="D13" s="6">
        <v>7</v>
      </c>
      <c r="E13" s="5" t="s">
        <v>68</v>
      </c>
      <c r="F13" s="6">
        <v>8</v>
      </c>
      <c r="G13" s="5" t="s">
        <v>69</v>
      </c>
      <c r="H13" s="6">
        <v>8</v>
      </c>
      <c r="I13" s="5" t="s">
        <v>70</v>
      </c>
      <c r="J13" s="6">
        <v>9</v>
      </c>
      <c r="K13" s="5" t="s">
        <v>71</v>
      </c>
      <c r="L13" s="5" t="s">
        <v>72</v>
      </c>
      <c r="M13" s="6">
        <v>3</v>
      </c>
      <c r="N13" s="8">
        <f t="shared" si="0"/>
        <v>24</v>
      </c>
      <c r="Q13">
        <f t="shared" si="1"/>
        <v>3</v>
      </c>
    </row>
    <row r="14" spans="1:17" ht="27" customHeight="1" thickBot="1" x14ac:dyDescent="0.35">
      <c r="A14" s="9">
        <v>46007.876863425925</v>
      </c>
      <c r="B14" s="10" t="s">
        <v>16</v>
      </c>
      <c r="C14" s="10" t="s">
        <v>73</v>
      </c>
      <c r="D14" s="11">
        <v>9</v>
      </c>
      <c r="E14" s="10" t="s">
        <v>74</v>
      </c>
      <c r="F14" s="11">
        <v>8</v>
      </c>
      <c r="G14" s="10" t="s">
        <v>75</v>
      </c>
      <c r="H14" s="11">
        <v>8</v>
      </c>
      <c r="I14" s="10" t="s">
        <v>76</v>
      </c>
      <c r="J14" s="11">
        <v>8</v>
      </c>
      <c r="K14" s="10" t="s">
        <v>77</v>
      </c>
      <c r="L14" s="10" t="s">
        <v>72</v>
      </c>
      <c r="M14" s="11">
        <v>9</v>
      </c>
      <c r="N14" s="8">
        <f t="shared" si="0"/>
        <v>24.5</v>
      </c>
      <c r="O14">
        <f>N14</f>
        <v>24.5</v>
      </c>
      <c r="P14" s="5" t="str">
        <f>C14</f>
        <v>Dialysis for sepsis ('remove' infection with nanoparticles) (Alix, Andrew, Cameron, Nina)</v>
      </c>
      <c r="Q14">
        <f t="shared" si="1"/>
        <v>9</v>
      </c>
    </row>
    <row r="15" spans="1:17" ht="27" customHeight="1" thickBot="1" x14ac:dyDescent="0.35">
      <c r="A15" s="4">
        <v>46005.905752314815</v>
      </c>
      <c r="B15" s="5" t="s">
        <v>45</v>
      </c>
      <c r="C15" s="5" t="s">
        <v>78</v>
      </c>
      <c r="D15" s="6">
        <v>10</v>
      </c>
      <c r="E15" s="7"/>
      <c r="F15" s="6">
        <v>10</v>
      </c>
      <c r="G15" s="7"/>
      <c r="H15" s="6">
        <v>10</v>
      </c>
      <c r="I15" s="5" t="s">
        <v>79</v>
      </c>
      <c r="J15" s="6">
        <v>10</v>
      </c>
      <c r="K15" s="7"/>
      <c r="L15" s="5" t="s">
        <v>80</v>
      </c>
      <c r="M15" s="6">
        <v>6</v>
      </c>
      <c r="N15" s="8">
        <f t="shared" si="0"/>
        <v>30</v>
      </c>
      <c r="O15">
        <f>AVERAGE(N15:N16)</f>
        <v>28</v>
      </c>
      <c r="P15" s="5" t="str">
        <f>C15</f>
        <v>Improved LVAD with coating to prevent infection (Ava, Nelli, Maryam, Catherine)</v>
      </c>
      <c r="Q15">
        <f t="shared" si="1"/>
        <v>6</v>
      </c>
    </row>
    <row r="16" spans="1:17" ht="27" customHeight="1" thickBot="1" x14ac:dyDescent="0.35">
      <c r="A16" s="9">
        <v>46007.848877314813</v>
      </c>
      <c r="B16" s="10" t="s">
        <v>16</v>
      </c>
      <c r="C16" s="10" t="s">
        <v>78</v>
      </c>
      <c r="D16" s="11">
        <v>9</v>
      </c>
      <c r="E16" s="10" t="s">
        <v>81</v>
      </c>
      <c r="F16" s="11">
        <v>7</v>
      </c>
      <c r="G16" s="10" t="s">
        <v>82</v>
      </c>
      <c r="H16" s="11">
        <v>9</v>
      </c>
      <c r="I16" s="10" t="s">
        <v>83</v>
      </c>
      <c r="J16" s="11">
        <v>9</v>
      </c>
      <c r="K16" s="10" t="s">
        <v>84</v>
      </c>
      <c r="L16" s="10" t="s">
        <v>35</v>
      </c>
      <c r="M16" s="11">
        <v>6</v>
      </c>
      <c r="N16" s="8">
        <f t="shared" si="0"/>
        <v>26</v>
      </c>
      <c r="Q16">
        <f t="shared" si="1"/>
        <v>6</v>
      </c>
    </row>
    <row r="17" spans="1:17" ht="27" customHeight="1" thickBot="1" x14ac:dyDescent="0.35">
      <c r="A17" s="9">
        <v>46007.889780092592</v>
      </c>
      <c r="B17" s="10" t="s">
        <v>16</v>
      </c>
      <c r="C17" s="10" t="s">
        <v>85</v>
      </c>
      <c r="D17" s="11">
        <v>9</v>
      </c>
      <c r="E17" s="10" t="s">
        <v>87</v>
      </c>
      <c r="F17" s="11">
        <v>8</v>
      </c>
      <c r="G17" s="10" t="s">
        <v>88</v>
      </c>
      <c r="H17" s="11">
        <v>9</v>
      </c>
      <c r="I17" s="10" t="s">
        <v>89</v>
      </c>
      <c r="J17" s="11">
        <v>9</v>
      </c>
      <c r="K17" s="10" t="s">
        <v>90</v>
      </c>
      <c r="L17" s="10" t="s">
        <v>35</v>
      </c>
      <c r="M17" s="11">
        <v>12</v>
      </c>
      <c r="N17" s="8">
        <f t="shared" si="0"/>
        <v>26.5</v>
      </c>
      <c r="O17">
        <f>N17</f>
        <v>26.5</v>
      </c>
      <c r="P17" s="5" t="str">
        <f>C17</f>
        <v>Neuromuscular disease progression modeling (Ali, Jerry, Manuel, Defne)</v>
      </c>
      <c r="Q17">
        <f t="shared" si="1"/>
        <v>12</v>
      </c>
    </row>
    <row r="18" spans="1:17" ht="27" customHeight="1" thickBot="1" x14ac:dyDescent="0.35">
      <c r="A18" s="4">
        <v>46007.88685185185</v>
      </c>
      <c r="B18" s="5" t="s">
        <v>16</v>
      </c>
      <c r="C18" s="5" t="s">
        <v>91</v>
      </c>
      <c r="D18" s="6">
        <v>9</v>
      </c>
      <c r="E18" s="5" t="s">
        <v>92</v>
      </c>
      <c r="F18" s="6">
        <v>9</v>
      </c>
      <c r="G18" s="5" t="s">
        <v>93</v>
      </c>
      <c r="H18" s="6">
        <v>8</v>
      </c>
      <c r="I18" s="5" t="s">
        <v>94</v>
      </c>
      <c r="J18" s="6">
        <v>9</v>
      </c>
      <c r="K18" s="5" t="s">
        <v>95</v>
      </c>
      <c r="L18" s="5" t="s">
        <v>35</v>
      </c>
      <c r="M18" s="6">
        <v>11</v>
      </c>
      <c r="N18" s="8">
        <f t="shared" si="0"/>
        <v>25.5</v>
      </c>
      <c r="O18">
        <f>N18</f>
        <v>25.5</v>
      </c>
      <c r="P18" s="5" t="str">
        <f>C18</f>
        <v>Pulomnary device (Hanah, Audre, Ian, Nicky)</v>
      </c>
      <c r="Q18">
        <f t="shared" si="1"/>
        <v>11</v>
      </c>
    </row>
    <row r="19" spans="1:17" ht="27" customHeight="1" thickBot="1" x14ac:dyDescent="0.35">
      <c r="A19" s="9">
        <v>46006.122766203705</v>
      </c>
      <c r="B19" s="10" t="s">
        <v>25</v>
      </c>
      <c r="C19" s="10" t="s">
        <v>96</v>
      </c>
      <c r="D19" s="11">
        <v>6</v>
      </c>
      <c r="E19" s="10" t="s">
        <v>97</v>
      </c>
      <c r="F19" s="11">
        <v>10</v>
      </c>
      <c r="G19" s="10" t="s">
        <v>98</v>
      </c>
      <c r="H19" s="11">
        <v>9</v>
      </c>
      <c r="I19" s="10" t="s">
        <v>99</v>
      </c>
      <c r="J19" s="11">
        <v>7</v>
      </c>
      <c r="K19" s="10" t="s">
        <v>100</v>
      </c>
      <c r="L19" s="10" t="s">
        <v>101</v>
      </c>
      <c r="M19" s="11">
        <v>13</v>
      </c>
      <c r="N19" s="8">
        <f t="shared" si="0"/>
        <v>25</v>
      </c>
      <c r="O19">
        <f>AVERAGE(N19:N20)</f>
        <v>26</v>
      </c>
      <c r="P19" s="5" t="str">
        <f>C19</f>
        <v>Respiratory pacemaker for ALS (Stephen, Ella, Andrea, Peter)</v>
      </c>
      <c r="Q19">
        <f t="shared" si="1"/>
        <v>13</v>
      </c>
    </row>
    <row r="20" spans="1:17" ht="27" customHeight="1" thickBot="1" x14ac:dyDescent="0.35">
      <c r="A20" s="9">
        <v>46007.894085648149</v>
      </c>
      <c r="B20" s="10" t="s">
        <v>16</v>
      </c>
      <c r="C20" s="10" t="s">
        <v>96</v>
      </c>
      <c r="D20" s="11">
        <v>9</v>
      </c>
      <c r="E20" s="10" t="s">
        <v>103</v>
      </c>
      <c r="F20" s="11">
        <v>9</v>
      </c>
      <c r="G20" s="10" t="s">
        <v>104</v>
      </c>
      <c r="H20" s="11">
        <v>9</v>
      </c>
      <c r="I20" s="10" t="s">
        <v>105</v>
      </c>
      <c r="J20" s="11">
        <v>9</v>
      </c>
      <c r="K20" s="10" t="s">
        <v>106</v>
      </c>
      <c r="L20" s="10" t="s">
        <v>35</v>
      </c>
      <c r="M20" s="11">
        <v>13</v>
      </c>
      <c r="N20" s="8">
        <f t="shared" si="0"/>
        <v>27</v>
      </c>
      <c r="Q20">
        <f t="shared" si="1"/>
        <v>13</v>
      </c>
    </row>
    <row r="21" spans="1:17" ht="27" customHeight="1" thickBot="1" x14ac:dyDescent="0.35">
      <c r="A21" s="4">
        <v>46006.499502314815</v>
      </c>
      <c r="B21" s="5" t="s">
        <v>25</v>
      </c>
      <c r="C21" s="5" t="s">
        <v>107</v>
      </c>
      <c r="D21" s="6">
        <v>7</v>
      </c>
      <c r="E21" s="5" t="s">
        <v>108</v>
      </c>
      <c r="F21" s="6">
        <v>10</v>
      </c>
      <c r="G21" s="5" t="s">
        <v>109</v>
      </c>
      <c r="H21" s="6">
        <v>10</v>
      </c>
      <c r="I21" s="5" t="s">
        <v>110</v>
      </c>
      <c r="J21" s="6">
        <v>9</v>
      </c>
      <c r="K21" s="5" t="s">
        <v>111</v>
      </c>
      <c r="L21" s="5" t="s">
        <v>112</v>
      </c>
      <c r="M21" s="6">
        <v>14</v>
      </c>
      <c r="N21" s="8">
        <f t="shared" si="0"/>
        <v>28</v>
      </c>
      <c r="O21">
        <f>AVERAGE(N21:N22)</f>
        <v>26.5</v>
      </c>
      <c r="P21" s="5" t="str">
        <f>C21</f>
        <v>Sleep Tracking (Maddie, Milan, Zohaib, Martha)</v>
      </c>
      <c r="Q21">
        <f t="shared" si="1"/>
        <v>14</v>
      </c>
    </row>
    <row r="22" spans="1:17" ht="27" customHeight="1" thickBot="1" x14ac:dyDescent="0.35">
      <c r="A22" s="4">
        <v>46007.897199074076</v>
      </c>
      <c r="B22" s="5" t="s">
        <v>16</v>
      </c>
      <c r="C22" s="5" t="s">
        <v>107</v>
      </c>
      <c r="D22" s="6">
        <v>9</v>
      </c>
      <c r="E22" s="5" t="s">
        <v>114</v>
      </c>
      <c r="F22" s="6">
        <v>9</v>
      </c>
      <c r="G22" s="5" t="s">
        <v>115</v>
      </c>
      <c r="H22" s="6">
        <v>8</v>
      </c>
      <c r="I22" s="5" t="s">
        <v>116</v>
      </c>
      <c r="J22" s="6">
        <v>8</v>
      </c>
      <c r="K22" s="5" t="s">
        <v>117</v>
      </c>
      <c r="L22" s="5" t="s">
        <v>35</v>
      </c>
      <c r="M22" s="6">
        <v>14</v>
      </c>
      <c r="N22" s="8">
        <f t="shared" si="0"/>
        <v>25</v>
      </c>
      <c r="Q22">
        <f t="shared" si="1"/>
        <v>14</v>
      </c>
    </row>
    <row r="23" spans="1:17" ht="27" customHeight="1" thickBot="1" x14ac:dyDescent="0.35">
      <c r="A23" s="9">
        <v>46005.893657407411</v>
      </c>
      <c r="B23" s="10" t="s">
        <v>45</v>
      </c>
      <c r="C23" s="10" t="s">
        <v>118</v>
      </c>
      <c r="D23" s="11">
        <v>10</v>
      </c>
      <c r="E23" s="13"/>
      <c r="F23" s="11">
        <v>10</v>
      </c>
      <c r="G23" s="13"/>
      <c r="H23" s="11">
        <v>8</v>
      </c>
      <c r="I23" s="10" t="s">
        <v>119</v>
      </c>
      <c r="J23" s="11">
        <v>9</v>
      </c>
      <c r="K23" s="10" t="s">
        <v>120</v>
      </c>
      <c r="L23" s="10" t="s">
        <v>121</v>
      </c>
      <c r="M23" s="11">
        <v>5</v>
      </c>
      <c r="N23" s="8">
        <f t="shared" si="0"/>
        <v>26.5</v>
      </c>
      <c r="O23">
        <f>AVERAGE(N23:N24)</f>
        <v>26.75</v>
      </c>
      <c r="P23" s="5" t="str">
        <f>C23</f>
        <v>Solutions to ease symptoms of endiometriosis (Amy, Evelyn, Simran, Sophia)</v>
      </c>
      <c r="Q23">
        <f t="shared" si="1"/>
        <v>5</v>
      </c>
    </row>
    <row r="24" spans="1:17" ht="27" customHeight="1" thickBot="1" x14ac:dyDescent="0.35">
      <c r="A24" s="4">
        <v>46007.846099537041</v>
      </c>
      <c r="B24" s="5" t="s">
        <v>16</v>
      </c>
      <c r="C24" s="5" t="s">
        <v>118</v>
      </c>
      <c r="D24" s="6">
        <v>9</v>
      </c>
      <c r="E24" s="5" t="s">
        <v>122</v>
      </c>
      <c r="F24" s="6">
        <v>9</v>
      </c>
      <c r="G24" s="5" t="s">
        <v>123</v>
      </c>
      <c r="H24" s="6">
        <v>9</v>
      </c>
      <c r="I24" s="5" t="s">
        <v>124</v>
      </c>
      <c r="J24" s="6">
        <v>9</v>
      </c>
      <c r="K24" s="5" t="s">
        <v>90</v>
      </c>
      <c r="L24" s="7"/>
      <c r="M24" s="6">
        <v>5</v>
      </c>
      <c r="N24" s="8">
        <f t="shared" si="0"/>
        <v>27</v>
      </c>
      <c r="Q24">
        <f t="shared" si="1"/>
        <v>5</v>
      </c>
    </row>
    <row r="25" spans="1:17" ht="27" customHeight="1" thickBot="1" x14ac:dyDescent="0.35">
      <c r="A25" s="9">
        <v>46005.726805555554</v>
      </c>
      <c r="B25" s="10" t="s">
        <v>10</v>
      </c>
      <c r="C25" s="10" t="s">
        <v>125</v>
      </c>
      <c r="D25" s="11">
        <v>8</v>
      </c>
      <c r="E25" s="10" t="s">
        <v>126</v>
      </c>
      <c r="F25" s="11">
        <v>10</v>
      </c>
      <c r="G25" s="10" t="s">
        <v>127</v>
      </c>
      <c r="H25" s="11">
        <v>10</v>
      </c>
      <c r="I25" s="10" t="s">
        <v>128</v>
      </c>
      <c r="J25" s="11">
        <v>5</v>
      </c>
      <c r="K25" s="10" t="s">
        <v>129</v>
      </c>
      <c r="L25" s="13"/>
      <c r="M25" s="11">
        <v>1</v>
      </c>
      <c r="N25" s="8">
        <f t="shared" si="0"/>
        <v>26.5</v>
      </c>
      <c r="O25">
        <f>AVERAGE(N25:N26)</f>
        <v>26</v>
      </c>
      <c r="P25" s="5" t="str">
        <f>C25</f>
        <v>Targeted delivery of RNAi/mRNA using lipid nanoparticles (LNPs) to solid tumors (Julia, Chris, Henry, Noor)</v>
      </c>
      <c r="Q25">
        <f t="shared" si="1"/>
        <v>1</v>
      </c>
    </row>
    <row r="26" spans="1:17" ht="27" customHeight="1" thickBot="1" x14ac:dyDescent="0.35">
      <c r="A26" s="4">
        <v>46007.652650462966</v>
      </c>
      <c r="B26" s="5" t="s">
        <v>16</v>
      </c>
      <c r="C26" s="5" t="s">
        <v>125</v>
      </c>
      <c r="D26" s="6">
        <v>8</v>
      </c>
      <c r="E26" s="5" t="s">
        <v>130</v>
      </c>
      <c r="F26" s="6">
        <v>8</v>
      </c>
      <c r="G26" s="5" t="s">
        <v>131</v>
      </c>
      <c r="H26" s="6">
        <v>9</v>
      </c>
      <c r="I26" s="5" t="s">
        <v>132</v>
      </c>
      <c r="J26" s="6">
        <v>8</v>
      </c>
      <c r="K26" s="5" t="s">
        <v>133</v>
      </c>
      <c r="L26" s="5" t="s">
        <v>134</v>
      </c>
      <c r="M26" s="6">
        <v>1</v>
      </c>
      <c r="N26" s="8">
        <f t="shared" si="0"/>
        <v>25.5</v>
      </c>
      <c r="Q26">
        <f t="shared" si="1"/>
        <v>1</v>
      </c>
    </row>
    <row r="27" spans="1:17" ht="27" customHeight="1" thickBot="1" x14ac:dyDescent="0.35">
      <c r="A27" s="14">
        <v>46007.879942129628</v>
      </c>
      <c r="B27" s="15" t="s">
        <v>16</v>
      </c>
      <c r="C27" s="15" t="s">
        <v>135</v>
      </c>
      <c r="D27" s="16">
        <v>9</v>
      </c>
      <c r="E27" s="15" t="s">
        <v>136</v>
      </c>
      <c r="F27" s="16">
        <v>9</v>
      </c>
      <c r="G27" s="15" t="s">
        <v>137</v>
      </c>
      <c r="H27" s="16">
        <v>8</v>
      </c>
      <c r="I27" s="15" t="s">
        <v>138</v>
      </c>
      <c r="J27" s="16">
        <v>8</v>
      </c>
      <c r="K27" s="15" t="s">
        <v>139</v>
      </c>
      <c r="L27" s="15" t="s">
        <v>140</v>
      </c>
      <c r="M27" s="16">
        <v>10</v>
      </c>
      <c r="N27" s="8">
        <f t="shared" si="0"/>
        <v>25</v>
      </c>
      <c r="O27">
        <f>N27</f>
        <v>25</v>
      </c>
      <c r="P27" s="5" t="str">
        <f>C27</f>
        <v>Wound closure (Siya, Mischa, Chili, Angel)</v>
      </c>
      <c r="Q27">
        <f t="shared" si="1"/>
        <v>10</v>
      </c>
    </row>
    <row r="30" spans="1:17" ht="27" customHeight="1" thickBot="1" x14ac:dyDescent="0.35"/>
    <row r="31" spans="1:17" ht="27" customHeight="1" thickBot="1" x14ac:dyDescent="0.35">
      <c r="A31" s="9">
        <v>46006.704687500001</v>
      </c>
      <c r="B31" s="13"/>
      <c r="C31" s="10" t="s">
        <v>107</v>
      </c>
      <c r="D31" s="11">
        <v>10</v>
      </c>
      <c r="E31" s="13"/>
      <c r="F31" s="11">
        <v>10</v>
      </c>
      <c r="G31" s="13"/>
      <c r="H31" s="11">
        <v>10</v>
      </c>
      <c r="I31" s="13"/>
      <c r="J31" s="11">
        <v>10</v>
      </c>
      <c r="K31" s="13"/>
      <c r="L31" s="10" t="s">
        <v>113</v>
      </c>
      <c r="M31" s="11">
        <v>14</v>
      </c>
      <c r="N31" s="8">
        <f t="shared" ref="N31:N34" si="2">D31/10*5+F31/10*5+H31/10*15+J31/10*5</f>
        <v>30</v>
      </c>
    </row>
    <row r="32" spans="1:17" ht="27" customHeight="1" thickBot="1" x14ac:dyDescent="0.35">
      <c r="A32" s="4">
        <v>46006.707592592589</v>
      </c>
      <c r="B32" s="5" t="s">
        <v>22</v>
      </c>
      <c r="C32" s="5" t="s">
        <v>96</v>
      </c>
      <c r="D32" s="6">
        <v>10</v>
      </c>
      <c r="E32" s="7"/>
      <c r="F32" s="6">
        <v>10</v>
      </c>
      <c r="G32" s="7"/>
      <c r="H32" s="6">
        <v>10</v>
      </c>
      <c r="I32" s="7"/>
      <c r="J32" s="6">
        <v>10</v>
      </c>
      <c r="K32" s="7"/>
      <c r="L32" s="5" t="s">
        <v>102</v>
      </c>
      <c r="M32" s="6">
        <v>13</v>
      </c>
      <c r="N32" s="8">
        <f t="shared" si="2"/>
        <v>30</v>
      </c>
    </row>
    <row r="33" spans="1:14" ht="27" customHeight="1" thickBot="1" x14ac:dyDescent="0.35">
      <c r="A33" s="4">
        <v>46006.712453703702</v>
      </c>
      <c r="B33" s="5" t="s">
        <v>22</v>
      </c>
      <c r="C33" s="5" t="s">
        <v>85</v>
      </c>
      <c r="D33" s="6">
        <v>10</v>
      </c>
      <c r="E33" s="7"/>
      <c r="F33" s="6">
        <v>10</v>
      </c>
      <c r="G33" s="7"/>
      <c r="H33" s="6">
        <v>10</v>
      </c>
      <c r="I33" s="7"/>
      <c r="J33" s="6">
        <v>10</v>
      </c>
      <c r="K33" s="7"/>
      <c r="L33" s="5" t="s">
        <v>86</v>
      </c>
      <c r="M33" s="6">
        <v>12</v>
      </c>
      <c r="N33" s="8">
        <f t="shared" si="2"/>
        <v>30</v>
      </c>
    </row>
    <row r="34" spans="1:14" ht="27" customHeight="1" thickBot="1" x14ac:dyDescent="0.35">
      <c r="A34" s="4">
        <v>46006.448020833333</v>
      </c>
      <c r="B34" s="5" t="s">
        <v>22</v>
      </c>
      <c r="C34" s="5" t="s">
        <v>23</v>
      </c>
      <c r="D34" s="6">
        <v>10</v>
      </c>
      <c r="E34" s="7"/>
      <c r="F34" s="6">
        <v>10</v>
      </c>
      <c r="G34" s="7"/>
      <c r="H34" s="6">
        <v>10</v>
      </c>
      <c r="I34" s="7"/>
      <c r="J34" s="6">
        <v>10</v>
      </c>
      <c r="K34" s="7"/>
      <c r="L34" s="5" t="s">
        <v>24</v>
      </c>
      <c r="M34" s="6">
        <v>15</v>
      </c>
      <c r="N34" s="8">
        <f t="shared" si="2"/>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64886-8553-4847-A661-EF4F99E03341}">
  <dimension ref="A1:Y63"/>
  <sheetViews>
    <sheetView tabSelected="1" workbookViewId="0">
      <selection activeCell="E11" sqref="E11"/>
    </sheetView>
  </sheetViews>
  <sheetFormatPr defaultRowHeight="14.4" x14ac:dyDescent="0.3"/>
  <cols>
    <col min="2" max="2" width="68.6640625" customWidth="1"/>
    <col min="24" max="24" width="8.88671875" style="30"/>
  </cols>
  <sheetData>
    <row r="1" spans="1:25" ht="15" thickBot="1" x14ac:dyDescent="0.35">
      <c r="C1" t="s">
        <v>378</v>
      </c>
      <c r="D1" t="s">
        <v>379</v>
      </c>
      <c r="E1" t="s">
        <v>380</v>
      </c>
      <c r="F1" t="s">
        <v>440</v>
      </c>
      <c r="W1" t="s">
        <v>571</v>
      </c>
      <c r="X1" s="30" t="s">
        <v>440</v>
      </c>
      <c r="Y1" s="30"/>
    </row>
    <row r="2" spans="1:25" ht="15" thickBot="1" x14ac:dyDescent="0.35">
      <c r="A2">
        <v>1</v>
      </c>
      <c r="B2" s="23" t="s">
        <v>125</v>
      </c>
      <c r="C2">
        <v>59.625</v>
      </c>
      <c r="D2">
        <v>26</v>
      </c>
      <c r="E2">
        <f>SUM(C2:D2)</f>
        <v>85.625</v>
      </c>
      <c r="F2">
        <f>E2+3</f>
        <v>88.625</v>
      </c>
      <c r="G2" t="s">
        <v>381</v>
      </c>
      <c r="H2">
        <f>E2</f>
        <v>85.625</v>
      </c>
      <c r="I2" t="s">
        <v>382</v>
      </c>
      <c r="J2">
        <f>E2</f>
        <v>85.625</v>
      </c>
      <c r="K2" t="s">
        <v>383</v>
      </c>
      <c r="L2">
        <f>E2</f>
        <v>85.625</v>
      </c>
      <c r="M2" t="s">
        <v>426</v>
      </c>
      <c r="N2">
        <f>E2</f>
        <v>85.625</v>
      </c>
      <c r="Q2" t="s">
        <v>546</v>
      </c>
      <c r="R2">
        <v>90</v>
      </c>
      <c r="T2" t="s">
        <v>441</v>
      </c>
      <c r="U2" t="s">
        <v>442</v>
      </c>
      <c r="V2" t="s">
        <v>442</v>
      </c>
      <c r="W2">
        <v>87.0625</v>
      </c>
      <c r="X2" s="30">
        <f>W2+4</f>
        <v>91.0625</v>
      </c>
      <c r="Y2" s="30">
        <f>X2+1</f>
        <v>92.0625</v>
      </c>
    </row>
    <row r="3" spans="1:25" ht="15" thickBot="1" x14ac:dyDescent="0.35">
      <c r="A3">
        <v>2</v>
      </c>
      <c r="B3" s="24" t="s">
        <v>36</v>
      </c>
      <c r="C3">
        <v>61.5</v>
      </c>
      <c r="D3">
        <v>25.833333333333332</v>
      </c>
      <c r="E3">
        <f t="shared" ref="E3:E16" si="0">SUM(C3:D3)</f>
        <v>87.333333333333329</v>
      </c>
      <c r="F3">
        <f t="shared" ref="F3:F16" si="1">E3+3</f>
        <v>90.333333333333329</v>
      </c>
      <c r="G3" t="s">
        <v>384</v>
      </c>
      <c r="H3">
        <f t="shared" ref="H3:H16" si="2">E3</f>
        <v>87.333333333333329</v>
      </c>
      <c r="I3" t="s">
        <v>385</v>
      </c>
      <c r="J3">
        <f t="shared" ref="J3:J16" si="3">E3</f>
        <v>87.333333333333329</v>
      </c>
      <c r="K3" t="s">
        <v>386</v>
      </c>
      <c r="L3">
        <f t="shared" ref="L3:L16" si="4">E3</f>
        <v>87.333333333333329</v>
      </c>
      <c r="M3" t="s">
        <v>427</v>
      </c>
      <c r="N3">
        <f t="shared" ref="N3:N16" si="5">E3</f>
        <v>87.333333333333329</v>
      </c>
      <c r="Q3" t="s">
        <v>446</v>
      </c>
      <c r="R3">
        <v>81.5</v>
      </c>
      <c r="T3" t="s">
        <v>443</v>
      </c>
      <c r="U3" t="s">
        <v>444</v>
      </c>
      <c r="V3" t="s">
        <v>444</v>
      </c>
      <c r="W3">
        <v>91.75</v>
      </c>
      <c r="X3" s="30">
        <f t="shared" ref="X3:X61" si="6">W3+4</f>
        <v>95.75</v>
      </c>
      <c r="Y3" s="30">
        <f t="shared" ref="Y3:Y61" si="7">X3+1</f>
        <v>96.75</v>
      </c>
    </row>
    <row r="4" spans="1:25" ht="15" thickBot="1" x14ac:dyDescent="0.35">
      <c r="A4">
        <v>3</v>
      </c>
      <c r="B4" s="5" t="s">
        <v>64</v>
      </c>
      <c r="C4">
        <v>61.25</v>
      </c>
      <c r="D4">
        <v>26.75</v>
      </c>
      <c r="E4">
        <f t="shared" si="0"/>
        <v>88</v>
      </c>
      <c r="F4">
        <f t="shared" si="1"/>
        <v>91</v>
      </c>
      <c r="G4" t="s">
        <v>387</v>
      </c>
      <c r="H4">
        <f t="shared" si="2"/>
        <v>88</v>
      </c>
      <c r="I4" t="s">
        <v>388</v>
      </c>
      <c r="J4">
        <f t="shared" si="3"/>
        <v>88</v>
      </c>
      <c r="K4" t="s">
        <v>389</v>
      </c>
      <c r="L4">
        <f t="shared" si="4"/>
        <v>88</v>
      </c>
      <c r="M4" t="s">
        <v>428</v>
      </c>
      <c r="N4">
        <f t="shared" si="5"/>
        <v>88</v>
      </c>
      <c r="Q4" t="s">
        <v>434</v>
      </c>
      <c r="R4">
        <v>85.333333333333343</v>
      </c>
      <c r="T4" t="s">
        <v>445</v>
      </c>
      <c r="U4" t="s">
        <v>429</v>
      </c>
      <c r="V4" t="s">
        <v>429</v>
      </c>
      <c r="W4">
        <v>90</v>
      </c>
      <c r="X4" s="30">
        <f t="shared" si="6"/>
        <v>94</v>
      </c>
      <c r="Y4" s="30">
        <f t="shared" si="7"/>
        <v>95</v>
      </c>
    </row>
    <row r="5" spans="1:25" ht="15" thickBot="1" x14ac:dyDescent="0.35">
      <c r="A5">
        <v>4</v>
      </c>
      <c r="B5" s="24" t="s">
        <v>11</v>
      </c>
      <c r="C5">
        <v>63.25</v>
      </c>
      <c r="D5">
        <v>26.75</v>
      </c>
      <c r="E5">
        <f t="shared" si="0"/>
        <v>90</v>
      </c>
      <c r="F5">
        <f t="shared" si="1"/>
        <v>93</v>
      </c>
      <c r="G5" t="s">
        <v>390</v>
      </c>
      <c r="H5">
        <f t="shared" si="2"/>
        <v>90</v>
      </c>
      <c r="I5" t="s">
        <v>391</v>
      </c>
      <c r="J5">
        <f t="shared" si="3"/>
        <v>90</v>
      </c>
      <c r="K5" t="s">
        <v>392</v>
      </c>
      <c r="L5">
        <f t="shared" si="4"/>
        <v>90</v>
      </c>
      <c r="M5" t="s">
        <v>429</v>
      </c>
      <c r="N5">
        <f t="shared" si="5"/>
        <v>90</v>
      </c>
      <c r="Q5" t="s">
        <v>430</v>
      </c>
      <c r="R5">
        <v>91.25</v>
      </c>
      <c r="T5" t="s">
        <v>446</v>
      </c>
      <c r="U5" t="s">
        <v>428</v>
      </c>
      <c r="V5" t="s">
        <v>428</v>
      </c>
      <c r="W5">
        <v>88</v>
      </c>
      <c r="X5" s="30">
        <f t="shared" si="6"/>
        <v>92</v>
      </c>
      <c r="Y5" s="30">
        <f t="shared" si="7"/>
        <v>93</v>
      </c>
    </row>
    <row r="6" spans="1:25" ht="15" thickBot="1" x14ac:dyDescent="0.35">
      <c r="A6">
        <v>5</v>
      </c>
      <c r="B6" s="5" t="s">
        <v>118</v>
      </c>
      <c r="C6">
        <v>64.5</v>
      </c>
      <c r="D6">
        <v>26.75</v>
      </c>
      <c r="E6">
        <f t="shared" si="0"/>
        <v>91.25</v>
      </c>
      <c r="F6">
        <f t="shared" si="1"/>
        <v>94.25</v>
      </c>
      <c r="G6" t="s">
        <v>393</v>
      </c>
      <c r="H6">
        <f t="shared" si="2"/>
        <v>91.25</v>
      </c>
      <c r="I6" t="s">
        <v>394</v>
      </c>
      <c r="J6">
        <f t="shared" si="3"/>
        <v>91.25</v>
      </c>
      <c r="K6" t="s">
        <v>395</v>
      </c>
      <c r="L6">
        <f t="shared" si="4"/>
        <v>91.25</v>
      </c>
      <c r="M6" t="s">
        <v>430</v>
      </c>
      <c r="N6">
        <f t="shared" si="5"/>
        <v>91.25</v>
      </c>
      <c r="Q6" t="s">
        <v>509</v>
      </c>
      <c r="R6">
        <v>86.375</v>
      </c>
      <c r="T6" t="s">
        <v>447</v>
      </c>
      <c r="U6" t="s">
        <v>448</v>
      </c>
      <c r="V6" t="s">
        <v>448</v>
      </c>
      <c r="W6">
        <v>85.625</v>
      </c>
      <c r="X6" s="30">
        <f t="shared" si="6"/>
        <v>89.625</v>
      </c>
      <c r="Y6" s="30">
        <f t="shared" si="7"/>
        <v>90.625</v>
      </c>
    </row>
    <row r="7" spans="1:25" ht="15" thickBot="1" x14ac:dyDescent="0.35">
      <c r="A7">
        <v>6</v>
      </c>
      <c r="B7" s="10" t="s">
        <v>78</v>
      </c>
      <c r="C7">
        <v>63.75</v>
      </c>
      <c r="D7">
        <v>28</v>
      </c>
      <c r="E7">
        <f t="shared" si="0"/>
        <v>91.75</v>
      </c>
      <c r="F7">
        <f t="shared" si="1"/>
        <v>94.75</v>
      </c>
      <c r="G7" t="s">
        <v>396</v>
      </c>
      <c r="H7">
        <f t="shared" si="2"/>
        <v>91.75</v>
      </c>
      <c r="I7" t="s">
        <v>397</v>
      </c>
      <c r="J7">
        <f t="shared" si="3"/>
        <v>91.75</v>
      </c>
      <c r="K7" t="s">
        <v>398</v>
      </c>
      <c r="L7">
        <f t="shared" si="4"/>
        <v>91.75</v>
      </c>
      <c r="M7" t="s">
        <v>431</v>
      </c>
      <c r="N7">
        <f t="shared" si="5"/>
        <v>91.75</v>
      </c>
      <c r="Q7" t="s">
        <v>522</v>
      </c>
      <c r="R7">
        <v>85.333333333333343</v>
      </c>
      <c r="T7" t="s">
        <v>449</v>
      </c>
      <c r="U7" t="s">
        <v>438</v>
      </c>
      <c r="V7" t="s">
        <v>438</v>
      </c>
      <c r="W7">
        <v>87.0625</v>
      </c>
      <c r="X7" s="30">
        <f t="shared" si="6"/>
        <v>91.0625</v>
      </c>
      <c r="Y7" s="30">
        <f t="shared" si="7"/>
        <v>92.0625</v>
      </c>
    </row>
    <row r="8" spans="1:25" ht="15" thickBot="1" x14ac:dyDescent="0.35">
      <c r="A8">
        <v>7</v>
      </c>
      <c r="B8" s="5" t="s">
        <v>46</v>
      </c>
      <c r="C8">
        <v>59.75</v>
      </c>
      <c r="D8">
        <v>26.5</v>
      </c>
      <c r="E8">
        <f t="shared" si="0"/>
        <v>86.25</v>
      </c>
      <c r="F8">
        <f t="shared" si="1"/>
        <v>89.25</v>
      </c>
      <c r="G8" t="s">
        <v>399</v>
      </c>
      <c r="H8">
        <f t="shared" si="2"/>
        <v>86.25</v>
      </c>
      <c r="I8" t="s">
        <v>400</v>
      </c>
      <c r="J8">
        <f t="shared" si="3"/>
        <v>86.25</v>
      </c>
      <c r="K8" t="s">
        <v>401</v>
      </c>
      <c r="L8">
        <f t="shared" si="4"/>
        <v>86.25</v>
      </c>
      <c r="M8" t="s">
        <v>432</v>
      </c>
      <c r="N8">
        <f t="shared" si="5"/>
        <v>86.25</v>
      </c>
      <c r="Q8" t="s">
        <v>471</v>
      </c>
      <c r="R8">
        <v>81.583333333333329</v>
      </c>
      <c r="T8" t="s">
        <v>450</v>
      </c>
      <c r="U8" t="s">
        <v>451</v>
      </c>
      <c r="V8" t="s">
        <v>555</v>
      </c>
      <c r="W8">
        <v>86.375</v>
      </c>
      <c r="X8" s="30">
        <f t="shared" si="6"/>
        <v>90.375</v>
      </c>
      <c r="Y8" s="30">
        <f t="shared" si="7"/>
        <v>91.375</v>
      </c>
    </row>
    <row r="9" spans="1:25" ht="15" thickBot="1" x14ac:dyDescent="0.35">
      <c r="A9">
        <v>8</v>
      </c>
      <c r="B9" s="24" t="s">
        <v>54</v>
      </c>
      <c r="C9">
        <v>59</v>
      </c>
      <c r="D9">
        <v>24.25</v>
      </c>
      <c r="E9">
        <f t="shared" si="0"/>
        <v>83.25</v>
      </c>
      <c r="F9">
        <f t="shared" si="1"/>
        <v>86.25</v>
      </c>
      <c r="G9" t="s">
        <v>402</v>
      </c>
      <c r="H9">
        <f t="shared" si="2"/>
        <v>83.25</v>
      </c>
      <c r="I9" t="s">
        <v>403</v>
      </c>
      <c r="J9">
        <f t="shared" si="3"/>
        <v>83.25</v>
      </c>
      <c r="K9" t="s">
        <v>404</v>
      </c>
      <c r="L9">
        <f t="shared" si="4"/>
        <v>83.25</v>
      </c>
      <c r="M9" t="s">
        <v>433</v>
      </c>
      <c r="N9">
        <f t="shared" si="5"/>
        <v>83.25</v>
      </c>
      <c r="Q9" t="s">
        <v>433</v>
      </c>
      <c r="R9">
        <v>83.25</v>
      </c>
      <c r="T9" t="s">
        <v>452</v>
      </c>
      <c r="U9" t="s">
        <v>453</v>
      </c>
      <c r="V9" t="s">
        <v>453</v>
      </c>
      <c r="W9">
        <v>90</v>
      </c>
      <c r="X9" s="30">
        <f t="shared" si="6"/>
        <v>94</v>
      </c>
      <c r="Y9" s="30">
        <f t="shared" si="7"/>
        <v>95</v>
      </c>
    </row>
    <row r="10" spans="1:25" ht="15" thickBot="1" x14ac:dyDescent="0.35">
      <c r="A10">
        <v>9</v>
      </c>
      <c r="B10" s="5" t="s">
        <v>73</v>
      </c>
      <c r="C10">
        <v>60.833333333333336</v>
      </c>
      <c r="D10">
        <v>24.5</v>
      </c>
      <c r="E10">
        <f t="shared" si="0"/>
        <v>85.333333333333343</v>
      </c>
      <c r="F10">
        <f t="shared" si="1"/>
        <v>88.333333333333343</v>
      </c>
      <c r="G10" t="s">
        <v>405</v>
      </c>
      <c r="H10">
        <f t="shared" si="2"/>
        <v>85.333333333333343</v>
      </c>
      <c r="I10" t="s">
        <v>406</v>
      </c>
      <c r="J10">
        <f t="shared" si="3"/>
        <v>85.333333333333343</v>
      </c>
      <c r="K10" t="s">
        <v>407</v>
      </c>
      <c r="L10">
        <f t="shared" si="4"/>
        <v>85.333333333333343</v>
      </c>
      <c r="M10" t="s">
        <v>434</v>
      </c>
      <c r="N10">
        <f t="shared" si="5"/>
        <v>85.333333333333343</v>
      </c>
      <c r="Q10" t="s">
        <v>432</v>
      </c>
      <c r="R10">
        <v>86.25</v>
      </c>
      <c r="T10" t="s">
        <v>454</v>
      </c>
      <c r="U10" t="s">
        <v>455</v>
      </c>
      <c r="V10" t="s">
        <v>550</v>
      </c>
      <c r="W10">
        <v>81.5</v>
      </c>
      <c r="X10" s="30">
        <f t="shared" si="6"/>
        <v>85.5</v>
      </c>
      <c r="Y10" s="30">
        <f t="shared" si="7"/>
        <v>86.5</v>
      </c>
    </row>
    <row r="11" spans="1:25" ht="15" thickBot="1" x14ac:dyDescent="0.35">
      <c r="A11">
        <v>10</v>
      </c>
      <c r="B11" s="10" t="s">
        <v>135</v>
      </c>
      <c r="C11">
        <v>56.583333333333329</v>
      </c>
      <c r="D11">
        <v>25</v>
      </c>
      <c r="E11">
        <f t="shared" si="0"/>
        <v>81.583333333333329</v>
      </c>
      <c r="F11">
        <f t="shared" si="1"/>
        <v>84.583333333333329</v>
      </c>
      <c r="G11" t="s">
        <v>408</v>
      </c>
      <c r="H11">
        <f t="shared" si="2"/>
        <v>81.583333333333329</v>
      </c>
      <c r="I11" t="s">
        <v>409</v>
      </c>
      <c r="J11">
        <f t="shared" si="3"/>
        <v>81.583333333333329</v>
      </c>
      <c r="K11" t="s">
        <v>410</v>
      </c>
      <c r="L11">
        <f t="shared" si="4"/>
        <v>81.583333333333329</v>
      </c>
      <c r="M11" t="s">
        <v>435</v>
      </c>
      <c r="N11">
        <f t="shared" si="5"/>
        <v>81.583333333333329</v>
      </c>
      <c r="Q11" t="s">
        <v>547</v>
      </c>
      <c r="R11">
        <v>87.25</v>
      </c>
      <c r="T11" t="s">
        <v>456</v>
      </c>
      <c r="U11" t="s">
        <v>457</v>
      </c>
      <c r="V11" t="s">
        <v>457</v>
      </c>
      <c r="W11">
        <v>87.333333333333329</v>
      </c>
      <c r="X11" s="30">
        <f t="shared" si="6"/>
        <v>91.333333333333329</v>
      </c>
      <c r="Y11" s="30">
        <f t="shared" si="7"/>
        <v>92.333333333333329</v>
      </c>
    </row>
    <row r="12" spans="1:25" ht="15" thickBot="1" x14ac:dyDescent="0.35">
      <c r="A12">
        <v>11</v>
      </c>
      <c r="B12" s="5" t="s">
        <v>91</v>
      </c>
      <c r="C12">
        <v>61.75</v>
      </c>
      <c r="D12">
        <v>25.5</v>
      </c>
      <c r="E12">
        <f t="shared" si="0"/>
        <v>87.25</v>
      </c>
      <c r="F12">
        <f t="shared" si="1"/>
        <v>90.25</v>
      </c>
      <c r="G12" t="s">
        <v>411</v>
      </c>
      <c r="H12">
        <f t="shared" si="2"/>
        <v>87.25</v>
      </c>
      <c r="I12" t="s">
        <v>412</v>
      </c>
      <c r="J12">
        <f t="shared" si="3"/>
        <v>87.25</v>
      </c>
      <c r="K12" t="s">
        <v>413</v>
      </c>
      <c r="L12">
        <f t="shared" si="4"/>
        <v>87.25</v>
      </c>
      <c r="M12" t="s">
        <v>436</v>
      </c>
      <c r="N12">
        <f t="shared" si="5"/>
        <v>87.25</v>
      </c>
      <c r="Q12" t="s">
        <v>431</v>
      </c>
      <c r="R12">
        <v>91.75</v>
      </c>
      <c r="T12" t="s">
        <v>458</v>
      </c>
      <c r="U12" t="s">
        <v>459</v>
      </c>
      <c r="V12" t="s">
        <v>547</v>
      </c>
      <c r="W12">
        <v>87.25</v>
      </c>
      <c r="X12" s="30">
        <f t="shared" si="6"/>
        <v>91.25</v>
      </c>
      <c r="Y12" s="30">
        <f t="shared" si="7"/>
        <v>92.25</v>
      </c>
    </row>
    <row r="13" spans="1:25" ht="15" thickBot="1" x14ac:dyDescent="0.35">
      <c r="A13">
        <v>12</v>
      </c>
      <c r="B13" s="24" t="s">
        <v>85</v>
      </c>
      <c r="C13">
        <v>55</v>
      </c>
      <c r="D13">
        <v>26.5</v>
      </c>
      <c r="E13">
        <f t="shared" si="0"/>
        <v>81.5</v>
      </c>
      <c r="F13">
        <f t="shared" si="1"/>
        <v>84.5</v>
      </c>
      <c r="G13" t="s">
        <v>414</v>
      </c>
      <c r="H13">
        <f t="shared" si="2"/>
        <v>81.5</v>
      </c>
      <c r="I13" t="s">
        <v>415</v>
      </c>
      <c r="J13">
        <f t="shared" si="3"/>
        <v>81.5</v>
      </c>
      <c r="K13" t="s">
        <v>416</v>
      </c>
      <c r="L13">
        <f t="shared" si="4"/>
        <v>81.5</v>
      </c>
      <c r="M13" t="s">
        <v>446</v>
      </c>
      <c r="N13">
        <f t="shared" si="5"/>
        <v>81.5</v>
      </c>
      <c r="Q13" t="s">
        <v>495</v>
      </c>
      <c r="R13">
        <v>88</v>
      </c>
      <c r="T13" t="s">
        <v>460</v>
      </c>
      <c r="U13" t="s">
        <v>461</v>
      </c>
      <c r="V13" t="s">
        <v>557</v>
      </c>
      <c r="W13">
        <v>86.9375</v>
      </c>
      <c r="X13" s="30">
        <f t="shared" si="6"/>
        <v>90.9375</v>
      </c>
      <c r="Y13" s="30">
        <f t="shared" si="7"/>
        <v>91.9375</v>
      </c>
    </row>
    <row r="14" spans="1:25" ht="15" thickBot="1" x14ac:dyDescent="0.35">
      <c r="A14">
        <v>13</v>
      </c>
      <c r="B14" s="23" t="s">
        <v>96</v>
      </c>
      <c r="C14">
        <v>60.375</v>
      </c>
      <c r="D14">
        <v>26</v>
      </c>
      <c r="E14">
        <f t="shared" si="0"/>
        <v>86.375</v>
      </c>
      <c r="F14">
        <f t="shared" si="1"/>
        <v>89.375</v>
      </c>
      <c r="G14" t="s">
        <v>417</v>
      </c>
      <c r="H14">
        <f t="shared" si="2"/>
        <v>86.375</v>
      </c>
      <c r="I14" t="s">
        <v>418</v>
      </c>
      <c r="J14">
        <f t="shared" si="3"/>
        <v>86.375</v>
      </c>
      <c r="K14" t="s">
        <v>419</v>
      </c>
      <c r="L14">
        <f t="shared" si="4"/>
        <v>86.375</v>
      </c>
      <c r="M14" t="s">
        <v>437</v>
      </c>
      <c r="N14">
        <f t="shared" si="5"/>
        <v>86.375</v>
      </c>
      <c r="Q14" t="s">
        <v>537</v>
      </c>
      <c r="R14">
        <v>85.333333333333343</v>
      </c>
      <c r="T14" t="s">
        <v>462</v>
      </c>
      <c r="U14" t="s">
        <v>463</v>
      </c>
      <c r="V14" t="s">
        <v>463</v>
      </c>
      <c r="W14">
        <v>83.25</v>
      </c>
      <c r="X14" s="30">
        <f t="shared" si="6"/>
        <v>87.25</v>
      </c>
      <c r="Y14" s="30">
        <f t="shared" si="7"/>
        <v>88.25</v>
      </c>
    </row>
    <row r="15" spans="1:25" ht="15" thickBot="1" x14ac:dyDescent="0.35">
      <c r="A15">
        <v>14</v>
      </c>
      <c r="B15" s="24" t="s">
        <v>107</v>
      </c>
      <c r="C15">
        <v>60.5625</v>
      </c>
      <c r="D15">
        <v>26.5</v>
      </c>
      <c r="E15">
        <f t="shared" si="0"/>
        <v>87.0625</v>
      </c>
      <c r="F15">
        <f t="shared" si="1"/>
        <v>90.0625</v>
      </c>
      <c r="G15" t="s">
        <v>420</v>
      </c>
      <c r="H15">
        <f t="shared" si="2"/>
        <v>87.0625</v>
      </c>
      <c r="I15" t="s">
        <v>421</v>
      </c>
      <c r="J15">
        <f t="shared" si="3"/>
        <v>87.0625</v>
      </c>
      <c r="K15" t="s">
        <v>422</v>
      </c>
      <c r="L15">
        <f t="shared" si="4"/>
        <v>87.0625</v>
      </c>
      <c r="M15" t="s">
        <v>438</v>
      </c>
      <c r="N15">
        <f t="shared" si="5"/>
        <v>87.0625</v>
      </c>
      <c r="Q15" t="s">
        <v>548</v>
      </c>
      <c r="R15">
        <v>91.75</v>
      </c>
      <c r="T15" t="s">
        <v>464</v>
      </c>
      <c r="U15" t="s">
        <v>465</v>
      </c>
      <c r="V15" t="s">
        <v>553</v>
      </c>
      <c r="W15">
        <v>85.333333333333343</v>
      </c>
      <c r="X15" s="30">
        <f t="shared" si="6"/>
        <v>89.333333333333343</v>
      </c>
      <c r="Y15" s="30">
        <f t="shared" si="7"/>
        <v>90.333333333333343</v>
      </c>
    </row>
    <row r="16" spans="1:25" ht="15" thickBot="1" x14ac:dyDescent="0.35">
      <c r="A16">
        <v>15</v>
      </c>
      <c r="B16" s="23" t="s">
        <v>23</v>
      </c>
      <c r="C16">
        <v>60.4375</v>
      </c>
      <c r="D16">
        <v>26.5</v>
      </c>
      <c r="E16">
        <f t="shared" si="0"/>
        <v>86.9375</v>
      </c>
      <c r="F16">
        <f t="shared" si="1"/>
        <v>89.9375</v>
      </c>
      <c r="G16" t="s">
        <v>423</v>
      </c>
      <c r="H16">
        <f t="shared" si="2"/>
        <v>86.9375</v>
      </c>
      <c r="I16" t="s">
        <v>424</v>
      </c>
      <c r="J16">
        <f t="shared" si="3"/>
        <v>86.9375</v>
      </c>
      <c r="K16" t="s">
        <v>425</v>
      </c>
      <c r="L16">
        <f t="shared" si="4"/>
        <v>86.9375</v>
      </c>
      <c r="M16" t="s">
        <v>439</v>
      </c>
      <c r="N16">
        <f t="shared" si="5"/>
        <v>86.9375</v>
      </c>
      <c r="Q16" t="s">
        <v>516</v>
      </c>
      <c r="R16">
        <v>81.583333333333329</v>
      </c>
      <c r="T16" t="s">
        <v>466</v>
      </c>
      <c r="U16" t="s">
        <v>467</v>
      </c>
      <c r="V16" t="s">
        <v>467</v>
      </c>
      <c r="W16">
        <v>81.5</v>
      </c>
      <c r="X16" s="30">
        <f t="shared" si="6"/>
        <v>85.5</v>
      </c>
      <c r="Y16" s="30">
        <f t="shared" si="7"/>
        <v>86.5</v>
      </c>
    </row>
    <row r="17" spans="1:25" x14ac:dyDescent="0.3">
      <c r="Q17" t="s">
        <v>549</v>
      </c>
      <c r="R17">
        <v>85.625</v>
      </c>
      <c r="T17" t="s">
        <v>468</v>
      </c>
      <c r="U17" t="s">
        <v>469</v>
      </c>
      <c r="V17" t="s">
        <v>469</v>
      </c>
      <c r="W17">
        <v>91.25</v>
      </c>
      <c r="X17" s="30">
        <f t="shared" si="6"/>
        <v>95.25</v>
      </c>
      <c r="Y17" s="30">
        <f t="shared" si="7"/>
        <v>96.25</v>
      </c>
    </row>
    <row r="18" spans="1:25" x14ac:dyDescent="0.3">
      <c r="E18">
        <f>AVERAGE(E2:E16)</f>
        <v>86.63333333333334</v>
      </c>
      <c r="F18">
        <f>AVERAGE(F2:F16)</f>
        <v>89.63333333333334</v>
      </c>
      <c r="Q18" t="s">
        <v>463</v>
      </c>
      <c r="R18">
        <v>83.25</v>
      </c>
      <c r="T18" t="s">
        <v>470</v>
      </c>
      <c r="U18" t="s">
        <v>471</v>
      </c>
      <c r="V18" t="s">
        <v>471</v>
      </c>
      <c r="W18">
        <v>81.583333333333329</v>
      </c>
      <c r="X18" s="30">
        <f t="shared" si="6"/>
        <v>85.583333333333329</v>
      </c>
      <c r="Y18" s="30">
        <f t="shared" si="7"/>
        <v>86.583333333333329</v>
      </c>
    </row>
    <row r="19" spans="1:25" x14ac:dyDescent="0.3">
      <c r="E19">
        <f>MIN(E2:E16)</f>
        <v>81.5</v>
      </c>
      <c r="Q19" t="s">
        <v>518</v>
      </c>
      <c r="R19">
        <v>88</v>
      </c>
      <c r="T19" t="s">
        <v>472</v>
      </c>
      <c r="U19" t="s">
        <v>473</v>
      </c>
      <c r="V19" t="s">
        <v>554</v>
      </c>
      <c r="W19">
        <v>85.625</v>
      </c>
      <c r="X19" s="30">
        <f t="shared" si="6"/>
        <v>89.625</v>
      </c>
      <c r="Y19" s="30">
        <f t="shared" si="7"/>
        <v>90.625</v>
      </c>
    </row>
    <row r="20" spans="1:25" x14ac:dyDescent="0.3">
      <c r="E20">
        <f>MAX(E2:E16)</f>
        <v>91.75</v>
      </c>
      <c r="Q20" t="s">
        <v>532</v>
      </c>
      <c r="R20">
        <v>81.5</v>
      </c>
      <c r="T20" t="s">
        <v>474</v>
      </c>
      <c r="U20" t="s">
        <v>437</v>
      </c>
      <c r="V20" t="s">
        <v>437</v>
      </c>
      <c r="W20">
        <v>86.375</v>
      </c>
      <c r="X20" s="30">
        <f t="shared" si="6"/>
        <v>90.375</v>
      </c>
      <c r="Y20" s="30">
        <f t="shared" si="7"/>
        <v>91.375</v>
      </c>
    </row>
    <row r="21" spans="1:25" x14ac:dyDescent="0.3">
      <c r="A21">
        <v>1</v>
      </c>
      <c r="B21" t="s">
        <v>381</v>
      </c>
      <c r="C21" t="s">
        <v>382</v>
      </c>
      <c r="D21" t="s">
        <v>383</v>
      </c>
      <c r="E21" t="s">
        <v>426</v>
      </c>
      <c r="Q21" t="s">
        <v>478</v>
      </c>
      <c r="R21">
        <v>83.25</v>
      </c>
      <c r="T21" t="s">
        <v>475</v>
      </c>
      <c r="U21" t="s">
        <v>476</v>
      </c>
      <c r="V21" t="s">
        <v>476</v>
      </c>
      <c r="W21">
        <v>88</v>
      </c>
      <c r="X21" s="30">
        <f t="shared" si="6"/>
        <v>92</v>
      </c>
      <c r="Y21" s="30">
        <f t="shared" si="7"/>
        <v>93</v>
      </c>
    </row>
    <row r="22" spans="1:25" x14ac:dyDescent="0.3">
      <c r="A22">
        <v>2</v>
      </c>
      <c r="B22" t="s">
        <v>384</v>
      </c>
      <c r="C22" t="s">
        <v>385</v>
      </c>
      <c r="D22" t="s">
        <v>386</v>
      </c>
      <c r="E22" t="s">
        <v>427</v>
      </c>
      <c r="Q22" t="s">
        <v>507</v>
      </c>
      <c r="R22">
        <v>86.25</v>
      </c>
      <c r="T22" t="s">
        <v>477</v>
      </c>
      <c r="U22" t="s">
        <v>478</v>
      </c>
      <c r="V22" t="s">
        <v>478</v>
      </c>
      <c r="W22">
        <v>83.25</v>
      </c>
      <c r="X22" s="30">
        <f t="shared" si="6"/>
        <v>87.25</v>
      </c>
      <c r="Y22" s="30">
        <f t="shared" si="7"/>
        <v>88.25</v>
      </c>
    </row>
    <row r="23" spans="1:25" x14ac:dyDescent="0.3">
      <c r="A23">
        <v>3</v>
      </c>
      <c r="B23" t="s">
        <v>387</v>
      </c>
      <c r="C23" t="s">
        <v>388</v>
      </c>
      <c r="D23" t="s">
        <v>389</v>
      </c>
      <c r="E23" t="s">
        <v>428</v>
      </c>
      <c r="Q23" t="s">
        <v>492</v>
      </c>
      <c r="R23">
        <v>86.9375</v>
      </c>
      <c r="T23" t="s">
        <v>479</v>
      </c>
      <c r="U23" t="s">
        <v>480</v>
      </c>
      <c r="V23" t="s">
        <v>480</v>
      </c>
      <c r="W23">
        <v>86.25</v>
      </c>
      <c r="X23" s="30">
        <f t="shared" si="6"/>
        <v>90.25</v>
      </c>
      <c r="Y23" s="30">
        <f t="shared" si="7"/>
        <v>91.25</v>
      </c>
    </row>
    <row r="24" spans="1:25" x14ac:dyDescent="0.3">
      <c r="A24">
        <v>4</v>
      </c>
      <c r="B24" t="s">
        <v>390</v>
      </c>
      <c r="C24" t="s">
        <v>391</v>
      </c>
      <c r="D24" t="s">
        <v>392</v>
      </c>
      <c r="E24" t="s">
        <v>429</v>
      </c>
      <c r="Q24" t="s">
        <v>501</v>
      </c>
      <c r="R24">
        <v>86.375</v>
      </c>
      <c r="T24" t="s">
        <v>481</v>
      </c>
      <c r="U24" t="s">
        <v>482</v>
      </c>
      <c r="V24" t="s">
        <v>548</v>
      </c>
      <c r="W24">
        <v>91.75</v>
      </c>
      <c r="X24" s="30">
        <f t="shared" si="6"/>
        <v>95.75</v>
      </c>
      <c r="Y24" s="30">
        <f t="shared" si="7"/>
        <v>96.75</v>
      </c>
    </row>
    <row r="25" spans="1:25" x14ac:dyDescent="0.3">
      <c r="A25">
        <v>5</v>
      </c>
      <c r="B25" t="s">
        <v>393</v>
      </c>
      <c r="C25" t="s">
        <v>394</v>
      </c>
      <c r="D25" t="s">
        <v>395</v>
      </c>
      <c r="E25" t="s">
        <v>430</v>
      </c>
      <c r="Q25" t="s">
        <v>469</v>
      </c>
      <c r="R25">
        <v>91.25</v>
      </c>
      <c r="T25" t="s">
        <v>483</v>
      </c>
      <c r="U25" t="s">
        <v>484</v>
      </c>
      <c r="V25" t="s">
        <v>556</v>
      </c>
      <c r="W25">
        <v>91.25</v>
      </c>
      <c r="X25" s="30">
        <f t="shared" si="6"/>
        <v>95.25</v>
      </c>
      <c r="Y25" s="30">
        <f t="shared" si="7"/>
        <v>96.25</v>
      </c>
    </row>
    <row r="26" spans="1:25" x14ac:dyDescent="0.3">
      <c r="A26">
        <v>6</v>
      </c>
      <c r="B26" t="s">
        <v>396</v>
      </c>
      <c r="C26" t="s">
        <v>397</v>
      </c>
      <c r="D26" t="s">
        <v>398</v>
      </c>
      <c r="E26" t="s">
        <v>431</v>
      </c>
      <c r="Q26" t="s">
        <v>457</v>
      </c>
      <c r="R26">
        <v>87.333333333333329</v>
      </c>
      <c r="T26" t="s">
        <v>485</v>
      </c>
      <c r="U26" t="s">
        <v>436</v>
      </c>
      <c r="V26" t="s">
        <v>436</v>
      </c>
      <c r="W26">
        <v>87.25</v>
      </c>
      <c r="X26" s="30">
        <f t="shared" si="6"/>
        <v>91.25</v>
      </c>
      <c r="Y26" s="30">
        <f t="shared" si="7"/>
        <v>92.25</v>
      </c>
    </row>
    <row r="27" spans="1:25" x14ac:dyDescent="0.3">
      <c r="A27">
        <v>7</v>
      </c>
      <c r="B27" t="s">
        <v>399</v>
      </c>
      <c r="C27" t="s">
        <v>400</v>
      </c>
      <c r="D27" t="s">
        <v>401</v>
      </c>
      <c r="E27" t="s">
        <v>432</v>
      </c>
      <c r="Q27" t="s">
        <v>439</v>
      </c>
      <c r="R27">
        <v>86.9375</v>
      </c>
      <c r="T27" t="s">
        <v>486</v>
      </c>
      <c r="U27" t="s">
        <v>487</v>
      </c>
      <c r="V27" t="s">
        <v>551</v>
      </c>
      <c r="W27">
        <v>87.0625</v>
      </c>
      <c r="X27" s="30">
        <f t="shared" si="6"/>
        <v>91.0625</v>
      </c>
      <c r="Y27" s="30">
        <f t="shared" si="7"/>
        <v>92.0625</v>
      </c>
    </row>
    <row r="28" spans="1:25" x14ac:dyDescent="0.3">
      <c r="A28">
        <v>8</v>
      </c>
      <c r="B28" t="s">
        <v>402</v>
      </c>
      <c r="C28" t="s">
        <v>403</v>
      </c>
      <c r="D28" t="s">
        <v>404</v>
      </c>
      <c r="E28" t="s">
        <v>433</v>
      </c>
      <c r="Q28" t="s">
        <v>427</v>
      </c>
      <c r="R28">
        <v>87.333333333333329</v>
      </c>
      <c r="T28" t="s">
        <v>488</v>
      </c>
      <c r="U28" t="s">
        <v>432</v>
      </c>
      <c r="V28" t="s">
        <v>432</v>
      </c>
      <c r="W28">
        <v>86.25</v>
      </c>
      <c r="X28" s="30">
        <f t="shared" si="6"/>
        <v>90.25</v>
      </c>
      <c r="Y28" s="30">
        <f t="shared" si="7"/>
        <v>91.25</v>
      </c>
    </row>
    <row r="29" spans="1:25" x14ac:dyDescent="0.3">
      <c r="A29">
        <v>9</v>
      </c>
      <c r="B29" t="s">
        <v>405</v>
      </c>
      <c r="C29" t="s">
        <v>406</v>
      </c>
      <c r="D29" t="s">
        <v>407</v>
      </c>
      <c r="E29" t="s">
        <v>434</v>
      </c>
      <c r="Q29" t="s">
        <v>453</v>
      </c>
      <c r="R29">
        <v>90</v>
      </c>
      <c r="T29" t="s">
        <v>489</v>
      </c>
      <c r="U29" t="s">
        <v>490</v>
      </c>
      <c r="V29" t="s">
        <v>552</v>
      </c>
      <c r="W29">
        <v>87.25</v>
      </c>
      <c r="X29" s="30">
        <f t="shared" si="6"/>
        <v>91.25</v>
      </c>
      <c r="Y29" s="30">
        <f t="shared" si="7"/>
        <v>92.25</v>
      </c>
    </row>
    <row r="30" spans="1:25" x14ac:dyDescent="0.3">
      <c r="A30">
        <v>10</v>
      </c>
      <c r="B30" t="s">
        <v>408</v>
      </c>
      <c r="C30" t="s">
        <v>409</v>
      </c>
      <c r="D30" t="s">
        <v>410</v>
      </c>
      <c r="E30" t="s">
        <v>435</v>
      </c>
      <c r="Q30" t="s">
        <v>436</v>
      </c>
      <c r="R30">
        <v>87.25</v>
      </c>
      <c r="T30" t="s">
        <v>491</v>
      </c>
      <c r="U30" t="s">
        <v>492</v>
      </c>
      <c r="V30" t="s">
        <v>492</v>
      </c>
      <c r="W30">
        <v>86.9375</v>
      </c>
      <c r="X30" s="30">
        <f t="shared" si="6"/>
        <v>90.9375</v>
      </c>
      <c r="Y30" s="30">
        <f t="shared" si="7"/>
        <v>91.9375</v>
      </c>
    </row>
    <row r="31" spans="1:25" x14ac:dyDescent="0.3">
      <c r="A31">
        <v>11</v>
      </c>
      <c r="B31" t="s">
        <v>411</v>
      </c>
      <c r="C31" t="s">
        <v>412</v>
      </c>
      <c r="D31" t="s">
        <v>413</v>
      </c>
      <c r="E31" t="s">
        <v>436</v>
      </c>
      <c r="Q31" t="s">
        <v>448</v>
      </c>
      <c r="R31">
        <v>85.625</v>
      </c>
      <c r="T31" t="s">
        <v>493</v>
      </c>
      <c r="U31" t="s">
        <v>434</v>
      </c>
      <c r="V31" t="s">
        <v>434</v>
      </c>
      <c r="W31">
        <v>85.333333333333343</v>
      </c>
      <c r="X31" s="30">
        <f t="shared" si="6"/>
        <v>89.333333333333343</v>
      </c>
      <c r="Y31" s="30">
        <f t="shared" si="7"/>
        <v>90.333333333333343</v>
      </c>
    </row>
    <row r="32" spans="1:25" x14ac:dyDescent="0.3">
      <c r="A32">
        <v>12</v>
      </c>
      <c r="B32" t="s">
        <v>414</v>
      </c>
      <c r="C32" t="s">
        <v>415</v>
      </c>
      <c r="D32" t="s">
        <v>416</v>
      </c>
      <c r="E32" t="s">
        <v>446</v>
      </c>
      <c r="Q32" t="s">
        <v>511</v>
      </c>
      <c r="R32">
        <v>87.25</v>
      </c>
      <c r="T32" t="s">
        <v>494</v>
      </c>
      <c r="U32" t="s">
        <v>495</v>
      </c>
      <c r="V32" t="s">
        <v>495</v>
      </c>
      <c r="W32">
        <v>88</v>
      </c>
      <c r="X32" s="30">
        <f t="shared" si="6"/>
        <v>92</v>
      </c>
      <c r="Y32" s="30">
        <f t="shared" si="7"/>
        <v>93</v>
      </c>
    </row>
    <row r="33" spans="1:25" x14ac:dyDescent="0.3">
      <c r="A33">
        <v>13</v>
      </c>
      <c r="B33" t="s">
        <v>417</v>
      </c>
      <c r="C33" t="s">
        <v>418</v>
      </c>
      <c r="D33" t="s">
        <v>419</v>
      </c>
      <c r="E33" t="s">
        <v>437</v>
      </c>
      <c r="Q33" t="s">
        <v>429</v>
      </c>
      <c r="R33">
        <v>90</v>
      </c>
      <c r="T33" t="s">
        <v>496</v>
      </c>
      <c r="U33" t="s">
        <v>497</v>
      </c>
      <c r="V33" t="s">
        <v>497</v>
      </c>
      <c r="W33">
        <v>81.583333333333329</v>
      </c>
      <c r="X33" s="30">
        <f t="shared" si="6"/>
        <v>85.583333333333329</v>
      </c>
      <c r="Y33" s="30">
        <f t="shared" si="7"/>
        <v>86.583333333333329</v>
      </c>
    </row>
    <row r="34" spans="1:25" x14ac:dyDescent="0.3">
      <c r="A34">
        <v>14</v>
      </c>
      <c r="B34" t="s">
        <v>420</v>
      </c>
      <c r="C34" t="s">
        <v>421</v>
      </c>
      <c r="D34" t="s">
        <v>422</v>
      </c>
      <c r="E34" t="s">
        <v>438</v>
      </c>
      <c r="Q34" t="s">
        <v>550</v>
      </c>
      <c r="R34">
        <v>81.5</v>
      </c>
      <c r="T34" t="s">
        <v>498</v>
      </c>
      <c r="U34" t="s">
        <v>499</v>
      </c>
      <c r="V34" t="s">
        <v>499</v>
      </c>
      <c r="W34">
        <v>83.25</v>
      </c>
      <c r="X34" s="30">
        <f t="shared" si="6"/>
        <v>87.25</v>
      </c>
      <c r="Y34" s="30">
        <f t="shared" si="7"/>
        <v>88.25</v>
      </c>
    </row>
    <row r="35" spans="1:25" x14ac:dyDescent="0.3">
      <c r="A35">
        <v>15</v>
      </c>
      <c r="B35" t="s">
        <v>423</v>
      </c>
      <c r="C35" t="s">
        <v>424</v>
      </c>
      <c r="D35" t="s">
        <v>425</v>
      </c>
      <c r="E35" t="s">
        <v>439</v>
      </c>
      <c r="Q35" t="s">
        <v>426</v>
      </c>
      <c r="R35">
        <v>85.625</v>
      </c>
      <c r="T35" t="s">
        <v>500</v>
      </c>
      <c r="U35" t="s">
        <v>501</v>
      </c>
      <c r="V35" t="s">
        <v>501</v>
      </c>
      <c r="W35">
        <v>86.375</v>
      </c>
      <c r="X35" s="30">
        <f t="shared" si="6"/>
        <v>90.375</v>
      </c>
      <c r="Y35" s="30">
        <f t="shared" si="7"/>
        <v>91.375</v>
      </c>
    </row>
    <row r="36" spans="1:25" x14ac:dyDescent="0.3">
      <c r="Q36" t="s">
        <v>539</v>
      </c>
      <c r="R36">
        <v>90</v>
      </c>
      <c r="T36" t="s">
        <v>502</v>
      </c>
      <c r="U36" t="s">
        <v>426</v>
      </c>
      <c r="V36" t="s">
        <v>426</v>
      </c>
      <c r="W36">
        <v>85.625</v>
      </c>
      <c r="X36" s="30">
        <f t="shared" si="6"/>
        <v>89.625</v>
      </c>
      <c r="Y36" s="30">
        <f t="shared" si="7"/>
        <v>90.625</v>
      </c>
    </row>
    <row r="37" spans="1:25" x14ac:dyDescent="0.3">
      <c r="Q37" t="s">
        <v>543</v>
      </c>
      <c r="R37">
        <v>86.9375</v>
      </c>
      <c r="T37" t="s">
        <v>503</v>
      </c>
      <c r="U37" t="s">
        <v>504</v>
      </c>
      <c r="V37" t="s">
        <v>504</v>
      </c>
      <c r="W37">
        <v>87.0625</v>
      </c>
      <c r="X37" s="30">
        <f t="shared" si="6"/>
        <v>91.0625</v>
      </c>
      <c r="Y37" s="30">
        <f t="shared" si="7"/>
        <v>92.0625</v>
      </c>
    </row>
    <row r="38" spans="1:25" x14ac:dyDescent="0.3">
      <c r="Q38" t="s">
        <v>534</v>
      </c>
      <c r="R38">
        <v>87.333333333333329</v>
      </c>
      <c r="T38" t="s">
        <v>505</v>
      </c>
      <c r="U38" t="s">
        <v>427</v>
      </c>
      <c r="V38" t="s">
        <v>427</v>
      </c>
      <c r="W38">
        <v>87.333333333333329</v>
      </c>
      <c r="X38" s="30">
        <f t="shared" si="6"/>
        <v>91.333333333333329</v>
      </c>
      <c r="Y38" s="30">
        <f t="shared" si="7"/>
        <v>92.333333333333329</v>
      </c>
    </row>
    <row r="39" spans="1:25" x14ac:dyDescent="0.3">
      <c r="Q39" t="s">
        <v>514</v>
      </c>
      <c r="R39">
        <v>87.333333333333329</v>
      </c>
      <c r="T39" t="s">
        <v>506</v>
      </c>
      <c r="U39" t="s">
        <v>507</v>
      </c>
      <c r="V39" t="s">
        <v>507</v>
      </c>
      <c r="W39">
        <v>86.25</v>
      </c>
      <c r="X39" s="30">
        <f t="shared" si="6"/>
        <v>90.25</v>
      </c>
      <c r="Y39" s="30">
        <f t="shared" si="7"/>
        <v>91.25</v>
      </c>
    </row>
    <row r="40" spans="1:25" x14ac:dyDescent="0.3">
      <c r="Q40" t="s">
        <v>438</v>
      </c>
      <c r="R40">
        <v>87.0625</v>
      </c>
      <c r="T40" t="s">
        <v>508</v>
      </c>
      <c r="U40" t="s">
        <v>509</v>
      </c>
      <c r="V40" t="s">
        <v>509</v>
      </c>
      <c r="W40">
        <v>86.375</v>
      </c>
      <c r="X40" s="30">
        <f t="shared" si="6"/>
        <v>90.375</v>
      </c>
      <c r="Y40" s="30">
        <f t="shared" si="7"/>
        <v>91.375</v>
      </c>
    </row>
    <row r="41" spans="1:25" x14ac:dyDescent="0.3">
      <c r="Q41" t="s">
        <v>476</v>
      </c>
      <c r="R41">
        <v>88</v>
      </c>
      <c r="T41" t="s">
        <v>510</v>
      </c>
      <c r="U41" t="s">
        <v>511</v>
      </c>
      <c r="V41" t="s">
        <v>511</v>
      </c>
      <c r="W41">
        <v>87.25</v>
      </c>
      <c r="X41" s="30">
        <f t="shared" si="6"/>
        <v>91.25</v>
      </c>
      <c r="Y41" s="30">
        <f t="shared" si="7"/>
        <v>92.25</v>
      </c>
    </row>
    <row r="42" spans="1:25" x14ac:dyDescent="0.3">
      <c r="Q42" t="s">
        <v>467</v>
      </c>
      <c r="R42">
        <v>81.5</v>
      </c>
      <c r="T42" t="s">
        <v>512</v>
      </c>
      <c r="U42" t="s">
        <v>435</v>
      </c>
      <c r="V42" t="s">
        <v>435</v>
      </c>
      <c r="W42">
        <v>81.583333333333329</v>
      </c>
      <c r="X42" s="30">
        <f t="shared" si="6"/>
        <v>85.583333333333329</v>
      </c>
      <c r="Y42" s="30">
        <f t="shared" si="7"/>
        <v>86.583333333333329</v>
      </c>
    </row>
    <row r="43" spans="1:25" x14ac:dyDescent="0.3">
      <c r="Q43" t="s">
        <v>480</v>
      </c>
      <c r="R43">
        <v>86.25</v>
      </c>
      <c r="T43" t="s">
        <v>513</v>
      </c>
      <c r="U43" t="s">
        <v>514</v>
      </c>
      <c r="V43" t="s">
        <v>514</v>
      </c>
      <c r="W43">
        <v>87.333333333333329</v>
      </c>
      <c r="X43" s="30">
        <f t="shared" si="6"/>
        <v>91.333333333333329</v>
      </c>
      <c r="Y43" s="30">
        <f t="shared" si="7"/>
        <v>92.333333333333329</v>
      </c>
    </row>
    <row r="44" spans="1:25" x14ac:dyDescent="0.3">
      <c r="Q44" t="s">
        <v>551</v>
      </c>
      <c r="R44">
        <v>87.0625</v>
      </c>
      <c r="T44" t="s">
        <v>515</v>
      </c>
      <c r="U44" t="s">
        <v>516</v>
      </c>
      <c r="V44" t="s">
        <v>516</v>
      </c>
      <c r="W44">
        <v>81.583333333333329</v>
      </c>
      <c r="X44" s="30">
        <f t="shared" si="6"/>
        <v>85.583333333333329</v>
      </c>
      <c r="Y44" s="30">
        <f t="shared" si="7"/>
        <v>86.583333333333329</v>
      </c>
    </row>
    <row r="45" spans="1:25" x14ac:dyDescent="0.3">
      <c r="Q45" t="s">
        <v>444</v>
      </c>
      <c r="R45">
        <v>91.75</v>
      </c>
      <c r="T45" t="s">
        <v>517</v>
      </c>
      <c r="U45" t="s">
        <v>518</v>
      </c>
      <c r="V45" t="s">
        <v>518</v>
      </c>
      <c r="W45">
        <v>88</v>
      </c>
      <c r="X45" s="30">
        <f t="shared" si="6"/>
        <v>92</v>
      </c>
      <c r="Y45" s="30">
        <f t="shared" si="7"/>
        <v>93</v>
      </c>
    </row>
    <row r="46" spans="1:25" x14ac:dyDescent="0.3">
      <c r="Q46" t="s">
        <v>504</v>
      </c>
      <c r="R46">
        <v>87.0625</v>
      </c>
      <c r="T46" t="s">
        <v>519</v>
      </c>
      <c r="U46" t="s">
        <v>520</v>
      </c>
      <c r="V46" t="s">
        <v>520</v>
      </c>
      <c r="W46">
        <v>86.25</v>
      </c>
      <c r="X46" s="30">
        <f t="shared" si="6"/>
        <v>90.25</v>
      </c>
      <c r="Y46" s="30">
        <f t="shared" si="7"/>
        <v>91.25</v>
      </c>
    </row>
    <row r="47" spans="1:25" x14ac:dyDescent="0.3">
      <c r="Q47" t="s">
        <v>497</v>
      </c>
      <c r="R47">
        <v>81.583333333333329</v>
      </c>
      <c r="T47" t="s">
        <v>521</v>
      </c>
      <c r="U47" t="s">
        <v>522</v>
      </c>
      <c r="V47" t="s">
        <v>522</v>
      </c>
      <c r="W47">
        <v>85.333333333333343</v>
      </c>
      <c r="X47" s="30">
        <f t="shared" si="6"/>
        <v>89.333333333333343</v>
      </c>
      <c r="Y47" s="30">
        <f t="shared" si="7"/>
        <v>90.333333333333343</v>
      </c>
    </row>
    <row r="48" spans="1:25" x14ac:dyDescent="0.3">
      <c r="Q48" t="s">
        <v>520</v>
      </c>
      <c r="R48">
        <v>86.25</v>
      </c>
      <c r="T48" t="s">
        <v>523</v>
      </c>
      <c r="U48" t="s">
        <v>524</v>
      </c>
      <c r="V48" t="s">
        <v>524</v>
      </c>
      <c r="W48">
        <v>91.75</v>
      </c>
      <c r="X48" s="30">
        <f t="shared" si="6"/>
        <v>95.75</v>
      </c>
      <c r="Y48" s="30">
        <f t="shared" si="7"/>
        <v>96.75</v>
      </c>
    </row>
    <row r="49" spans="17:25" x14ac:dyDescent="0.3">
      <c r="Q49" t="s">
        <v>524</v>
      </c>
      <c r="R49">
        <v>91.75</v>
      </c>
      <c r="T49" t="s">
        <v>525</v>
      </c>
      <c r="U49" t="s">
        <v>431</v>
      </c>
      <c r="V49" t="s">
        <v>431</v>
      </c>
      <c r="W49">
        <v>91.75</v>
      </c>
      <c r="X49" s="30">
        <f t="shared" si="6"/>
        <v>95.75</v>
      </c>
      <c r="Y49" s="30">
        <f t="shared" si="7"/>
        <v>96.75</v>
      </c>
    </row>
    <row r="50" spans="17:25" x14ac:dyDescent="0.3">
      <c r="Q50" t="s">
        <v>552</v>
      </c>
      <c r="R50">
        <v>87.25</v>
      </c>
      <c r="T50" t="s">
        <v>526</v>
      </c>
      <c r="U50" t="s">
        <v>446</v>
      </c>
      <c r="V50" t="s">
        <v>446</v>
      </c>
      <c r="W50">
        <v>81.5</v>
      </c>
      <c r="X50" s="30">
        <f t="shared" si="6"/>
        <v>85.5</v>
      </c>
      <c r="Y50" s="30">
        <f t="shared" si="7"/>
        <v>86.5</v>
      </c>
    </row>
    <row r="51" spans="17:25" x14ac:dyDescent="0.3">
      <c r="Q51" t="s">
        <v>553</v>
      </c>
      <c r="R51">
        <v>85.333333333333343</v>
      </c>
      <c r="T51" t="s">
        <v>527</v>
      </c>
      <c r="U51" t="s">
        <v>430</v>
      </c>
      <c r="V51" t="s">
        <v>430</v>
      </c>
      <c r="W51">
        <v>91.25</v>
      </c>
      <c r="X51" s="30">
        <f t="shared" si="6"/>
        <v>95.25</v>
      </c>
      <c r="Y51" s="30">
        <f t="shared" si="7"/>
        <v>96.25</v>
      </c>
    </row>
    <row r="52" spans="17:25" x14ac:dyDescent="0.3">
      <c r="Q52" t="s">
        <v>554</v>
      </c>
      <c r="R52">
        <v>85.625</v>
      </c>
      <c r="T52" t="s">
        <v>528</v>
      </c>
      <c r="U52" t="s">
        <v>529</v>
      </c>
      <c r="V52" t="s">
        <v>529</v>
      </c>
      <c r="W52">
        <v>91.25</v>
      </c>
      <c r="X52" s="30">
        <f t="shared" si="6"/>
        <v>95.25</v>
      </c>
      <c r="Y52" s="30">
        <f t="shared" si="7"/>
        <v>96.25</v>
      </c>
    </row>
    <row r="53" spans="17:25" x14ac:dyDescent="0.3">
      <c r="Q53" t="s">
        <v>555</v>
      </c>
      <c r="R53">
        <v>86.375</v>
      </c>
      <c r="T53" t="s">
        <v>530</v>
      </c>
      <c r="U53" t="s">
        <v>433</v>
      </c>
      <c r="V53" t="s">
        <v>433</v>
      </c>
      <c r="W53">
        <v>83.25</v>
      </c>
      <c r="X53" s="30">
        <f t="shared" si="6"/>
        <v>87.25</v>
      </c>
      <c r="Y53" s="30">
        <f t="shared" si="7"/>
        <v>88.25</v>
      </c>
    </row>
    <row r="54" spans="17:25" x14ac:dyDescent="0.3">
      <c r="Q54" t="s">
        <v>428</v>
      </c>
      <c r="R54">
        <v>88</v>
      </c>
      <c r="T54" t="s">
        <v>531</v>
      </c>
      <c r="U54" t="s">
        <v>532</v>
      </c>
      <c r="V54" t="s">
        <v>532</v>
      </c>
      <c r="W54">
        <v>81.5</v>
      </c>
      <c r="X54" s="30">
        <f t="shared" si="6"/>
        <v>85.5</v>
      </c>
      <c r="Y54" s="30">
        <f t="shared" si="7"/>
        <v>86.5</v>
      </c>
    </row>
    <row r="55" spans="17:25" x14ac:dyDescent="0.3">
      <c r="Q55" t="s">
        <v>529</v>
      </c>
      <c r="R55">
        <v>91.25</v>
      </c>
      <c r="T55" t="s">
        <v>533</v>
      </c>
      <c r="U55" t="s">
        <v>534</v>
      </c>
      <c r="V55" t="s">
        <v>534</v>
      </c>
      <c r="W55">
        <v>87.333333333333329</v>
      </c>
      <c r="X55" s="30">
        <f t="shared" si="6"/>
        <v>91.333333333333329</v>
      </c>
      <c r="Y55" s="30">
        <f t="shared" si="7"/>
        <v>92.333333333333329</v>
      </c>
    </row>
    <row r="56" spans="17:25" x14ac:dyDescent="0.3">
      <c r="Q56" t="s">
        <v>435</v>
      </c>
      <c r="R56">
        <v>81.583333333333329</v>
      </c>
      <c r="T56" t="s">
        <v>535</v>
      </c>
      <c r="U56" t="s">
        <v>439</v>
      </c>
      <c r="V56" t="s">
        <v>439</v>
      </c>
      <c r="W56">
        <v>86.9375</v>
      </c>
      <c r="X56" s="30">
        <f t="shared" si="6"/>
        <v>90.9375</v>
      </c>
      <c r="Y56" s="30">
        <f t="shared" si="7"/>
        <v>91.9375</v>
      </c>
    </row>
    <row r="57" spans="17:25" x14ac:dyDescent="0.3">
      <c r="Q57" t="s">
        <v>556</v>
      </c>
      <c r="R57">
        <v>91.25</v>
      </c>
      <c r="T57" t="s">
        <v>536</v>
      </c>
      <c r="U57" t="s">
        <v>537</v>
      </c>
      <c r="V57" t="s">
        <v>537</v>
      </c>
      <c r="W57">
        <v>85.333333333333343</v>
      </c>
      <c r="X57" s="30">
        <f t="shared" si="6"/>
        <v>89.333333333333343</v>
      </c>
      <c r="Y57" s="30">
        <f t="shared" si="7"/>
        <v>90.333333333333343</v>
      </c>
    </row>
    <row r="58" spans="17:25" x14ac:dyDescent="0.3">
      <c r="Q58" t="s">
        <v>557</v>
      </c>
      <c r="R58">
        <v>86.9375</v>
      </c>
      <c r="T58" t="s">
        <v>538</v>
      </c>
      <c r="U58" t="s">
        <v>539</v>
      </c>
      <c r="V58" t="s">
        <v>539</v>
      </c>
      <c r="W58">
        <v>90</v>
      </c>
      <c r="X58" s="30">
        <f t="shared" si="6"/>
        <v>94</v>
      </c>
      <c r="Y58" s="30">
        <f t="shared" si="7"/>
        <v>95</v>
      </c>
    </row>
    <row r="59" spans="17:25" x14ac:dyDescent="0.3">
      <c r="Q59" t="s">
        <v>437</v>
      </c>
      <c r="R59">
        <v>86.375</v>
      </c>
      <c r="T59" t="s">
        <v>540</v>
      </c>
      <c r="U59" t="s">
        <v>541</v>
      </c>
      <c r="V59" t="s">
        <v>546</v>
      </c>
      <c r="W59">
        <v>90</v>
      </c>
      <c r="X59" s="30">
        <f t="shared" si="6"/>
        <v>94</v>
      </c>
      <c r="Y59" s="30">
        <f t="shared" si="7"/>
        <v>95</v>
      </c>
    </row>
    <row r="60" spans="17:25" x14ac:dyDescent="0.3">
      <c r="Q60" t="s">
        <v>499</v>
      </c>
      <c r="R60">
        <v>83.25</v>
      </c>
      <c r="T60" t="s">
        <v>542</v>
      </c>
      <c r="U60" t="s">
        <v>543</v>
      </c>
      <c r="V60" t="s">
        <v>543</v>
      </c>
      <c r="W60">
        <v>86.9375</v>
      </c>
      <c r="X60" s="30">
        <f t="shared" si="6"/>
        <v>90.9375</v>
      </c>
      <c r="Y60" s="30">
        <f t="shared" si="7"/>
        <v>91.9375</v>
      </c>
    </row>
    <row r="61" spans="17:25" x14ac:dyDescent="0.3">
      <c r="Q61" t="s">
        <v>442</v>
      </c>
      <c r="R61">
        <v>87.0625</v>
      </c>
      <c r="T61" t="s">
        <v>544</v>
      </c>
      <c r="U61" t="s">
        <v>545</v>
      </c>
      <c r="V61" t="s">
        <v>549</v>
      </c>
      <c r="W61">
        <v>85.625</v>
      </c>
      <c r="X61" s="30">
        <f t="shared" si="6"/>
        <v>89.625</v>
      </c>
      <c r="Y61" s="30">
        <f t="shared" si="7"/>
        <v>90.625</v>
      </c>
    </row>
    <row r="62" spans="17:25" x14ac:dyDescent="0.3">
      <c r="Y62" s="30"/>
    </row>
    <row r="63" spans="17:25" x14ac:dyDescent="0.3">
      <c r="X63" s="30">
        <f>AVERAGE(X2:X61)</f>
        <v>90.63333333333334</v>
      </c>
      <c r="Y63" s="30">
        <f>AVERAGE(Y2:Y61)</f>
        <v>91.63333333333334</v>
      </c>
    </row>
  </sheetData>
  <sortState xmlns:xlrd2="http://schemas.microsoft.com/office/spreadsheetml/2017/richdata2" ref="T2:W61">
    <sortCondition ref="T2:T6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B1E02-AACC-40DA-B37F-2DCA59E2E17E}">
  <dimension ref="A1:Q60"/>
  <sheetViews>
    <sheetView topLeftCell="C37" workbookViewId="0">
      <selection activeCell="N58" sqref="N58"/>
    </sheetView>
  </sheetViews>
  <sheetFormatPr defaultRowHeight="19.2" customHeight="1" x14ac:dyDescent="0.3"/>
  <cols>
    <col min="1" max="1" width="20.88671875" customWidth="1"/>
    <col min="3" max="3" width="18.21875" customWidth="1"/>
  </cols>
  <sheetData>
    <row r="1" spans="1:16" ht="19.2" customHeight="1" thickBot="1" x14ac:dyDescent="0.35">
      <c r="A1" s="1" t="s">
        <v>0</v>
      </c>
      <c r="B1" s="2" t="s">
        <v>1</v>
      </c>
      <c r="C1" s="2" t="s">
        <v>2</v>
      </c>
      <c r="D1" s="2" t="s">
        <v>142</v>
      </c>
      <c r="E1" s="2" t="s">
        <v>4</v>
      </c>
      <c r="F1" s="2" t="s">
        <v>143</v>
      </c>
      <c r="G1" s="2" t="s">
        <v>4</v>
      </c>
      <c r="H1" s="2" t="s">
        <v>144</v>
      </c>
      <c r="I1" s="2" t="s">
        <v>4</v>
      </c>
      <c r="J1" s="2" t="s">
        <v>145</v>
      </c>
      <c r="K1" s="2" t="s">
        <v>4</v>
      </c>
      <c r="L1" s="2" t="s">
        <v>8</v>
      </c>
      <c r="M1" s="3" t="s">
        <v>9</v>
      </c>
    </row>
    <row r="2" spans="1:16" ht="19.2" customHeight="1" thickBot="1" x14ac:dyDescent="0.35">
      <c r="A2" s="4">
        <v>46001.49150462963</v>
      </c>
      <c r="B2" s="5" t="s">
        <v>162</v>
      </c>
      <c r="C2" s="5" t="s">
        <v>125</v>
      </c>
      <c r="D2" s="6">
        <v>10</v>
      </c>
      <c r="E2" s="5" t="s">
        <v>283</v>
      </c>
      <c r="F2" s="6">
        <v>10</v>
      </c>
      <c r="G2" s="5" t="s">
        <v>284</v>
      </c>
      <c r="H2" s="6">
        <v>10</v>
      </c>
      <c r="I2" s="5" t="s">
        <v>285</v>
      </c>
      <c r="J2" s="6">
        <v>10</v>
      </c>
      <c r="K2" s="5" t="s">
        <v>286</v>
      </c>
      <c r="L2" s="5" t="s">
        <v>287</v>
      </c>
      <c r="M2" s="8">
        <v>1</v>
      </c>
      <c r="N2" s="8">
        <f>D2/10*15+F2/10*15+H2/10*25+J2/10*15</f>
        <v>70</v>
      </c>
      <c r="O2">
        <f>AVERAGE(N2:N3)</f>
        <v>67.25</v>
      </c>
      <c r="P2" s="5" t="str">
        <f>C2</f>
        <v>Targeted delivery of RNAi/mRNA using lipid nanoparticles (LNPs) to solid tumors (Julia, Chris, Henry, Noor)</v>
      </c>
    </row>
    <row r="3" spans="1:16" ht="19.2" customHeight="1" thickBot="1" x14ac:dyDescent="0.35">
      <c r="A3" s="22">
        <v>46001.387187499997</v>
      </c>
      <c r="B3" s="24" t="s">
        <v>10</v>
      </c>
      <c r="C3" s="24" t="s">
        <v>125</v>
      </c>
      <c r="D3" s="26">
        <v>9</v>
      </c>
      <c r="E3" s="24" t="s">
        <v>146</v>
      </c>
      <c r="F3" s="26">
        <v>10</v>
      </c>
      <c r="G3" s="24" t="s">
        <v>147</v>
      </c>
      <c r="H3" s="26">
        <v>9</v>
      </c>
      <c r="I3" s="24" t="s">
        <v>148</v>
      </c>
      <c r="J3" s="26">
        <v>9</v>
      </c>
      <c r="K3" s="24" t="s">
        <v>149</v>
      </c>
      <c r="L3" s="24" t="s">
        <v>72</v>
      </c>
      <c r="M3" s="8">
        <v>1</v>
      </c>
      <c r="N3" s="8">
        <f t="shared" ref="N3:N43" si="0">D3/10*15+F3/10*15+H3/10*25+J3/10*15</f>
        <v>64.5</v>
      </c>
    </row>
    <row r="4" spans="1:16" ht="19.2" customHeight="1" thickBot="1" x14ac:dyDescent="0.35">
      <c r="A4" s="4">
        <v>46001.395069444443</v>
      </c>
      <c r="B4" s="5" t="s">
        <v>162</v>
      </c>
      <c r="C4" s="5" t="s">
        <v>36</v>
      </c>
      <c r="D4" s="6">
        <v>9</v>
      </c>
      <c r="E4" s="5" t="s">
        <v>163</v>
      </c>
      <c r="F4" s="6">
        <v>9</v>
      </c>
      <c r="G4" s="5" t="s">
        <v>164</v>
      </c>
      <c r="H4" s="6">
        <v>10</v>
      </c>
      <c r="I4" s="5" t="s">
        <v>165</v>
      </c>
      <c r="J4" s="6">
        <v>10</v>
      </c>
      <c r="K4" s="5" t="s">
        <v>166</v>
      </c>
      <c r="L4" s="5" t="s">
        <v>167</v>
      </c>
      <c r="M4" s="8">
        <v>2</v>
      </c>
      <c r="N4" s="8">
        <f t="shared" si="0"/>
        <v>67</v>
      </c>
      <c r="O4">
        <f>AVERAGE(N4:N5)</f>
        <v>64.5</v>
      </c>
      <c r="P4" s="5" t="str">
        <f>C4</f>
        <v>Biomaterial stents for coronary artery disease (Hailey, Lara, Evrim, Leticia)</v>
      </c>
    </row>
    <row r="5" spans="1:16" ht="19.2" customHeight="1" thickBot="1" x14ac:dyDescent="0.35">
      <c r="A5" s="9">
        <v>46001.393993055557</v>
      </c>
      <c r="B5" s="10" t="s">
        <v>10</v>
      </c>
      <c r="C5" s="10" t="s">
        <v>36</v>
      </c>
      <c r="D5" s="11">
        <v>8</v>
      </c>
      <c r="E5" s="10" t="s">
        <v>158</v>
      </c>
      <c r="F5" s="11">
        <v>10</v>
      </c>
      <c r="G5" s="10" t="s">
        <v>159</v>
      </c>
      <c r="H5" s="11">
        <v>8</v>
      </c>
      <c r="I5" s="10" t="s">
        <v>160</v>
      </c>
      <c r="J5" s="11">
        <v>10</v>
      </c>
      <c r="K5" s="10" t="s">
        <v>161</v>
      </c>
      <c r="L5" s="10" t="s">
        <v>72</v>
      </c>
      <c r="M5" s="12">
        <v>2</v>
      </c>
      <c r="N5" s="8">
        <f t="shared" si="0"/>
        <v>62</v>
      </c>
    </row>
    <row r="6" spans="1:16" ht="19.2" customHeight="1" thickBot="1" x14ac:dyDescent="0.35">
      <c r="A6" s="21">
        <v>46001.403495370374</v>
      </c>
      <c r="B6" s="23" t="s">
        <v>162</v>
      </c>
      <c r="C6" s="23" t="s">
        <v>64</v>
      </c>
      <c r="D6" s="25">
        <v>9</v>
      </c>
      <c r="E6" s="23" t="s">
        <v>176</v>
      </c>
      <c r="F6" s="25">
        <v>9</v>
      </c>
      <c r="G6" s="23" t="s">
        <v>177</v>
      </c>
      <c r="H6" s="25">
        <v>10</v>
      </c>
      <c r="I6" s="23" t="s">
        <v>178</v>
      </c>
      <c r="J6" s="25">
        <v>9</v>
      </c>
      <c r="K6" s="23" t="s">
        <v>179</v>
      </c>
      <c r="L6" s="23" t="s">
        <v>180</v>
      </c>
      <c r="M6" s="12">
        <v>3</v>
      </c>
      <c r="N6" s="8">
        <f t="shared" si="0"/>
        <v>65.5</v>
      </c>
      <c r="O6">
        <f>AVERAGE(N6:N7)</f>
        <v>66.5</v>
      </c>
      <c r="P6" s="5" t="str">
        <f>C6</f>
        <v>Cardiovascular diseases (Shakira, Malaika, Daniel, Baharullah)</v>
      </c>
    </row>
    <row r="7" spans="1:16" ht="19.2" customHeight="1" thickBot="1" x14ac:dyDescent="0.35">
      <c r="A7" s="9">
        <v>46001.40121527778</v>
      </c>
      <c r="B7" s="10" t="s">
        <v>10</v>
      </c>
      <c r="C7" s="10" t="s">
        <v>64</v>
      </c>
      <c r="D7" s="11">
        <v>10</v>
      </c>
      <c r="E7" s="10" t="s">
        <v>168</v>
      </c>
      <c r="F7" s="11">
        <v>10</v>
      </c>
      <c r="G7" s="10" t="s">
        <v>169</v>
      </c>
      <c r="H7" s="11">
        <v>9</v>
      </c>
      <c r="I7" s="10" t="s">
        <v>170</v>
      </c>
      <c r="J7" s="11">
        <v>10</v>
      </c>
      <c r="K7" s="10" t="s">
        <v>171</v>
      </c>
      <c r="L7" s="10" t="s">
        <v>72</v>
      </c>
      <c r="M7" s="12">
        <v>3</v>
      </c>
      <c r="N7" s="8">
        <f t="shared" si="0"/>
        <v>67.5</v>
      </c>
    </row>
    <row r="8" spans="1:16" ht="19.2" customHeight="1" thickBot="1" x14ac:dyDescent="0.35">
      <c r="A8" s="21">
        <v>46001.408854166664</v>
      </c>
      <c r="B8" s="23" t="s">
        <v>10</v>
      </c>
      <c r="C8" s="23" t="s">
        <v>11</v>
      </c>
      <c r="D8" s="25">
        <v>10</v>
      </c>
      <c r="E8" s="23" t="s">
        <v>186</v>
      </c>
      <c r="F8" s="25">
        <v>10</v>
      </c>
      <c r="G8" s="23" t="s">
        <v>187</v>
      </c>
      <c r="H8" s="25">
        <v>8</v>
      </c>
      <c r="I8" s="23" t="s">
        <v>188</v>
      </c>
      <c r="J8" s="25">
        <v>10</v>
      </c>
      <c r="K8" s="23" t="s">
        <v>189</v>
      </c>
      <c r="L8" s="23" t="s">
        <v>72</v>
      </c>
      <c r="M8" s="12">
        <v>4</v>
      </c>
      <c r="N8" s="8">
        <f t="shared" si="0"/>
        <v>65</v>
      </c>
      <c r="O8">
        <f>N8</f>
        <v>65</v>
      </c>
      <c r="P8" s="5" t="str">
        <f>C8</f>
        <v>ARVD therapy using mRNA (Isabelle, Justen, Han, Abhinga)</v>
      </c>
    </row>
    <row r="9" spans="1:16" ht="19.2" customHeight="1" thickBot="1" x14ac:dyDescent="0.35">
      <c r="A9" s="22">
        <v>46001.426898148151</v>
      </c>
      <c r="B9" s="24" t="s">
        <v>162</v>
      </c>
      <c r="C9" s="24" t="s">
        <v>118</v>
      </c>
      <c r="D9" s="26">
        <v>10</v>
      </c>
      <c r="E9" s="24" t="s">
        <v>197</v>
      </c>
      <c r="F9" s="26">
        <v>10</v>
      </c>
      <c r="G9" s="24" t="s">
        <v>198</v>
      </c>
      <c r="H9" s="26">
        <v>10</v>
      </c>
      <c r="I9" s="24" t="s">
        <v>199</v>
      </c>
      <c r="J9" s="26">
        <v>10</v>
      </c>
      <c r="K9" s="24" t="s">
        <v>200</v>
      </c>
      <c r="L9" s="24" t="s">
        <v>201</v>
      </c>
      <c r="M9" s="8">
        <v>5</v>
      </c>
      <c r="N9" s="8">
        <f t="shared" si="0"/>
        <v>70</v>
      </c>
      <c r="O9">
        <f>AVERAGE(N9:N10)</f>
        <v>70</v>
      </c>
      <c r="P9" s="5" t="str">
        <f>C9</f>
        <v>Solutions to ease symptoms of endiometriosis (Amy, Evelyn, Simran, Sophia)</v>
      </c>
    </row>
    <row r="10" spans="1:16" ht="19.2" customHeight="1" thickBot="1" x14ac:dyDescent="0.35">
      <c r="A10" s="21">
        <v>46001.416828703703</v>
      </c>
      <c r="B10" s="23" t="s">
        <v>10</v>
      </c>
      <c r="C10" s="23" t="s">
        <v>118</v>
      </c>
      <c r="D10" s="25">
        <v>10</v>
      </c>
      <c r="E10" s="23" t="s">
        <v>193</v>
      </c>
      <c r="F10" s="25">
        <v>10</v>
      </c>
      <c r="G10" s="23" t="s">
        <v>194</v>
      </c>
      <c r="H10" s="25">
        <v>10</v>
      </c>
      <c r="I10" s="23" t="s">
        <v>195</v>
      </c>
      <c r="J10" s="25">
        <v>10</v>
      </c>
      <c r="K10" s="23" t="s">
        <v>196</v>
      </c>
      <c r="L10" s="23" t="s">
        <v>72</v>
      </c>
      <c r="M10" s="12">
        <v>5</v>
      </c>
      <c r="N10" s="8">
        <f t="shared" si="0"/>
        <v>70</v>
      </c>
    </row>
    <row r="11" spans="1:16" ht="19.2" customHeight="1" thickBot="1" x14ac:dyDescent="0.35">
      <c r="A11" s="22">
        <v>46001.443032407406</v>
      </c>
      <c r="B11" s="24" t="s">
        <v>162</v>
      </c>
      <c r="C11" s="24" t="s">
        <v>78</v>
      </c>
      <c r="D11" s="26">
        <v>10</v>
      </c>
      <c r="E11" s="24" t="s">
        <v>206</v>
      </c>
      <c r="F11" s="26">
        <v>10</v>
      </c>
      <c r="G11" s="24" t="s">
        <v>207</v>
      </c>
      <c r="H11" s="26">
        <v>10</v>
      </c>
      <c r="I11" s="24" t="s">
        <v>208</v>
      </c>
      <c r="J11" s="26">
        <v>10</v>
      </c>
      <c r="K11" s="24" t="s">
        <v>209</v>
      </c>
      <c r="L11" s="24" t="s">
        <v>210</v>
      </c>
      <c r="M11" s="8">
        <v>6</v>
      </c>
      <c r="N11" s="8">
        <f t="shared" si="0"/>
        <v>70</v>
      </c>
      <c r="O11">
        <f>AVERAGE(N11:N12)</f>
        <v>70</v>
      </c>
      <c r="P11" s="5" t="str">
        <f>C11</f>
        <v>Improved LVAD with coating to prevent infection (Ava, Nelli, Maryam, Catherine)</v>
      </c>
    </row>
    <row r="12" spans="1:16" ht="19.2" customHeight="1" thickBot="1" x14ac:dyDescent="0.35">
      <c r="A12" s="21">
        <v>46001.442442129628</v>
      </c>
      <c r="B12" s="23" t="s">
        <v>10</v>
      </c>
      <c r="C12" s="23" t="s">
        <v>78</v>
      </c>
      <c r="D12" s="25">
        <v>10</v>
      </c>
      <c r="E12" s="23" t="s">
        <v>202</v>
      </c>
      <c r="F12" s="25">
        <v>10</v>
      </c>
      <c r="G12" s="23" t="s">
        <v>203</v>
      </c>
      <c r="H12" s="25">
        <v>10</v>
      </c>
      <c r="I12" s="23" t="s">
        <v>204</v>
      </c>
      <c r="J12" s="25">
        <v>10</v>
      </c>
      <c r="K12" s="23" t="s">
        <v>205</v>
      </c>
      <c r="L12" s="23" t="s">
        <v>72</v>
      </c>
      <c r="M12" s="12">
        <v>6</v>
      </c>
      <c r="N12" s="8">
        <f t="shared" si="0"/>
        <v>70</v>
      </c>
    </row>
    <row r="13" spans="1:16" ht="19.2" customHeight="1" thickBot="1" x14ac:dyDescent="0.35">
      <c r="A13" s="9">
        <v>46001.450567129628</v>
      </c>
      <c r="B13" s="10" t="s">
        <v>162</v>
      </c>
      <c r="C13" s="10" t="s">
        <v>46</v>
      </c>
      <c r="D13" s="11">
        <v>10</v>
      </c>
      <c r="E13" s="10" t="s">
        <v>227</v>
      </c>
      <c r="F13" s="11">
        <v>9</v>
      </c>
      <c r="G13" s="10" t="s">
        <v>228</v>
      </c>
      <c r="H13" s="11">
        <v>9</v>
      </c>
      <c r="I13" s="10" t="s">
        <v>229</v>
      </c>
      <c r="J13" s="11">
        <v>10</v>
      </c>
      <c r="K13" s="10" t="s">
        <v>230</v>
      </c>
      <c r="L13" s="13"/>
      <c r="M13" s="12">
        <v>7</v>
      </c>
      <c r="N13" s="8">
        <f t="shared" si="0"/>
        <v>66</v>
      </c>
      <c r="O13">
        <f>AVERAGE(N13:N15)</f>
        <v>60.5</v>
      </c>
      <c r="P13" s="5" t="str">
        <f>C13</f>
        <v>Biomaterials for knee and hip replacements (Anita, Monika, Marielle, Eleanor)</v>
      </c>
    </row>
    <row r="14" spans="1:16" ht="19.2" customHeight="1" thickBot="1" x14ac:dyDescent="0.35">
      <c r="A14" s="4">
        <v>46001.449479166666</v>
      </c>
      <c r="B14" s="5" t="s">
        <v>10</v>
      </c>
      <c r="C14" s="5" t="s">
        <v>46</v>
      </c>
      <c r="D14" s="6">
        <v>10</v>
      </c>
      <c r="E14" s="5" t="s">
        <v>223</v>
      </c>
      <c r="F14" s="6">
        <v>9</v>
      </c>
      <c r="G14" s="5" t="s">
        <v>224</v>
      </c>
      <c r="H14" s="6">
        <v>8</v>
      </c>
      <c r="I14" s="5" t="s">
        <v>225</v>
      </c>
      <c r="J14" s="6">
        <v>9</v>
      </c>
      <c r="K14" s="5" t="s">
        <v>226</v>
      </c>
      <c r="L14" s="5" t="s">
        <v>72</v>
      </c>
      <c r="M14" s="8">
        <v>7</v>
      </c>
      <c r="N14" s="8">
        <f t="shared" si="0"/>
        <v>62</v>
      </c>
    </row>
    <row r="15" spans="1:16" ht="19.2" customHeight="1" thickBot="1" x14ac:dyDescent="0.35">
      <c r="A15" s="9">
        <v>46001.449317129627</v>
      </c>
      <c r="B15" s="10" t="s">
        <v>217</v>
      </c>
      <c r="C15" s="10" t="s">
        <v>46</v>
      </c>
      <c r="D15" s="11">
        <v>9</v>
      </c>
      <c r="E15" s="10" t="s">
        <v>218</v>
      </c>
      <c r="F15" s="11">
        <v>8</v>
      </c>
      <c r="G15" s="10" t="s">
        <v>219</v>
      </c>
      <c r="H15" s="11">
        <v>7</v>
      </c>
      <c r="I15" s="10" t="s">
        <v>220</v>
      </c>
      <c r="J15" s="11">
        <v>7</v>
      </c>
      <c r="K15" s="10" t="s">
        <v>221</v>
      </c>
      <c r="L15" s="10" t="s">
        <v>222</v>
      </c>
      <c r="M15" s="12">
        <v>7</v>
      </c>
      <c r="N15" s="8">
        <f t="shared" si="0"/>
        <v>53.5</v>
      </c>
    </row>
    <row r="16" spans="1:16" ht="19.2" customHeight="1" thickBot="1" x14ac:dyDescent="0.35">
      <c r="A16" s="4">
        <v>46001.457881944443</v>
      </c>
      <c r="B16" s="5" t="s">
        <v>162</v>
      </c>
      <c r="C16" s="5" t="s">
        <v>54</v>
      </c>
      <c r="D16" s="6">
        <v>10</v>
      </c>
      <c r="E16" s="5" t="s">
        <v>240</v>
      </c>
      <c r="F16" s="6">
        <v>9</v>
      </c>
      <c r="G16" s="5" t="s">
        <v>241</v>
      </c>
      <c r="H16" s="6">
        <v>8</v>
      </c>
      <c r="I16" s="5" t="s">
        <v>242</v>
      </c>
      <c r="J16" s="6">
        <v>9</v>
      </c>
      <c r="K16" s="5" t="s">
        <v>243</v>
      </c>
      <c r="L16" s="7"/>
      <c r="M16" s="8">
        <v>8</v>
      </c>
      <c r="N16" s="8">
        <f t="shared" si="0"/>
        <v>62</v>
      </c>
      <c r="O16">
        <f>AVERAGE(N16:N18)</f>
        <v>60.5</v>
      </c>
      <c r="P16" s="5" t="str">
        <f>C16</f>
        <v>Cardiac stents (Angelina, Tiyana, Drake, Cristian)</v>
      </c>
    </row>
    <row r="17" spans="1:16" ht="19.2" customHeight="1" thickBot="1" x14ac:dyDescent="0.35">
      <c r="A17" s="9">
        <v>46001.457662037035</v>
      </c>
      <c r="B17" s="10" t="s">
        <v>10</v>
      </c>
      <c r="C17" s="10" t="s">
        <v>54</v>
      </c>
      <c r="D17" s="11">
        <v>8</v>
      </c>
      <c r="E17" s="10" t="s">
        <v>236</v>
      </c>
      <c r="F17" s="11">
        <v>10</v>
      </c>
      <c r="G17" s="10" t="s">
        <v>237</v>
      </c>
      <c r="H17" s="11">
        <v>9</v>
      </c>
      <c r="I17" s="10" t="s">
        <v>238</v>
      </c>
      <c r="J17" s="11">
        <v>10</v>
      </c>
      <c r="K17" s="10" t="s">
        <v>239</v>
      </c>
      <c r="L17" s="10" t="s">
        <v>72</v>
      </c>
      <c r="M17" s="12">
        <v>8</v>
      </c>
      <c r="N17" s="8">
        <f t="shared" si="0"/>
        <v>64.5</v>
      </c>
    </row>
    <row r="18" spans="1:16" ht="19.2" customHeight="1" thickBot="1" x14ac:dyDescent="0.35">
      <c r="A18" s="21">
        <v>46001.458402777775</v>
      </c>
      <c r="B18" s="23" t="s">
        <v>217</v>
      </c>
      <c r="C18" s="23" t="s">
        <v>54</v>
      </c>
      <c r="D18" s="25">
        <v>9</v>
      </c>
      <c r="E18" s="27"/>
      <c r="F18" s="25">
        <v>8</v>
      </c>
      <c r="G18" s="23" t="s">
        <v>244</v>
      </c>
      <c r="H18" s="25">
        <v>7</v>
      </c>
      <c r="I18" s="23" t="s">
        <v>245</v>
      </c>
      <c r="J18" s="25">
        <v>8</v>
      </c>
      <c r="K18" s="23" t="s">
        <v>246</v>
      </c>
      <c r="L18" s="23" t="s">
        <v>247</v>
      </c>
      <c r="M18" s="12">
        <v>8</v>
      </c>
      <c r="N18" s="8">
        <f t="shared" si="0"/>
        <v>55</v>
      </c>
    </row>
    <row r="19" spans="1:16" ht="19.2" customHeight="1" thickBot="1" x14ac:dyDescent="0.35">
      <c r="A19" s="9">
        <v>46001.464016203703</v>
      </c>
      <c r="B19" s="10" t="s">
        <v>162</v>
      </c>
      <c r="C19" s="10" t="s">
        <v>73</v>
      </c>
      <c r="D19" s="11">
        <v>10</v>
      </c>
      <c r="E19" s="10" t="s">
        <v>253</v>
      </c>
      <c r="F19" s="11">
        <v>9</v>
      </c>
      <c r="G19" s="10" t="s">
        <v>254</v>
      </c>
      <c r="H19" s="11">
        <v>9</v>
      </c>
      <c r="I19" s="10" t="s">
        <v>255</v>
      </c>
      <c r="J19" s="11">
        <v>10</v>
      </c>
      <c r="K19" s="10" t="s">
        <v>256</v>
      </c>
      <c r="L19" s="13"/>
      <c r="M19" s="12">
        <v>9</v>
      </c>
      <c r="N19" s="8">
        <f t="shared" si="0"/>
        <v>66</v>
      </c>
      <c r="O19">
        <f>AVERAGE(N19:N21)</f>
        <v>64.166666666666671</v>
      </c>
      <c r="P19" s="5" t="str">
        <f>C19</f>
        <v>Dialysis for sepsis ('remove' infection with nanoparticles) (Alix, Andrew, Cameron, Nina)</v>
      </c>
    </row>
    <row r="20" spans="1:16" ht="19.2" customHeight="1" thickBot="1" x14ac:dyDescent="0.35">
      <c r="A20" s="4">
        <v>46001.465405092589</v>
      </c>
      <c r="B20" s="5" t="s">
        <v>10</v>
      </c>
      <c r="C20" s="5" t="s">
        <v>73</v>
      </c>
      <c r="D20" s="6">
        <v>10</v>
      </c>
      <c r="E20" s="5" t="s">
        <v>257</v>
      </c>
      <c r="F20" s="6">
        <v>7</v>
      </c>
      <c r="G20" s="5" t="s">
        <v>258</v>
      </c>
      <c r="H20" s="6">
        <v>8</v>
      </c>
      <c r="I20" s="5" t="s">
        <v>259</v>
      </c>
      <c r="J20" s="6">
        <v>10</v>
      </c>
      <c r="K20" s="5" t="s">
        <v>239</v>
      </c>
      <c r="L20" s="5" t="s">
        <v>72</v>
      </c>
      <c r="M20" s="8">
        <v>9</v>
      </c>
      <c r="N20" s="8">
        <f t="shared" si="0"/>
        <v>60.5</v>
      </c>
    </row>
    <row r="21" spans="1:16" ht="19.2" customHeight="1" thickBot="1" x14ac:dyDescent="0.35">
      <c r="A21" s="9">
        <v>46001.465416666666</v>
      </c>
      <c r="B21" s="10" t="s">
        <v>217</v>
      </c>
      <c r="C21" s="10" t="s">
        <v>73</v>
      </c>
      <c r="D21" s="11">
        <v>10</v>
      </c>
      <c r="E21" s="10" t="s">
        <v>260</v>
      </c>
      <c r="F21" s="11">
        <v>9</v>
      </c>
      <c r="G21" s="10" t="s">
        <v>261</v>
      </c>
      <c r="H21" s="11">
        <v>9</v>
      </c>
      <c r="I21" s="10" t="s">
        <v>262</v>
      </c>
      <c r="J21" s="11">
        <v>10</v>
      </c>
      <c r="K21" s="13"/>
      <c r="L21" s="10" t="s">
        <v>263</v>
      </c>
      <c r="M21" s="12">
        <v>9</v>
      </c>
      <c r="N21" s="8">
        <f t="shared" si="0"/>
        <v>66</v>
      </c>
    </row>
    <row r="22" spans="1:16" ht="19.2" customHeight="1" thickBot="1" x14ac:dyDescent="0.35">
      <c r="A22" s="21">
        <v>46001.476319444446</v>
      </c>
      <c r="B22" s="23" t="s">
        <v>162</v>
      </c>
      <c r="C22" s="23" t="s">
        <v>135</v>
      </c>
      <c r="D22" s="25">
        <v>10</v>
      </c>
      <c r="E22" s="23" t="s">
        <v>278</v>
      </c>
      <c r="F22" s="25">
        <v>9</v>
      </c>
      <c r="G22" s="23" t="s">
        <v>279</v>
      </c>
      <c r="H22" s="25">
        <v>7</v>
      </c>
      <c r="I22" s="23" t="s">
        <v>280</v>
      </c>
      <c r="J22" s="25">
        <v>9</v>
      </c>
      <c r="K22" s="23" t="s">
        <v>281</v>
      </c>
      <c r="L22" s="23" t="s">
        <v>282</v>
      </c>
      <c r="M22" s="8">
        <v>10</v>
      </c>
      <c r="N22" s="8">
        <f t="shared" si="0"/>
        <v>59.5</v>
      </c>
      <c r="O22">
        <f>AVERAGE(N22:N24)</f>
        <v>58.666666666666664</v>
      </c>
      <c r="P22" s="5" t="str">
        <f>C22</f>
        <v>Wound closure (Siya, Mischa, Chili, Angel)</v>
      </c>
    </row>
    <row r="23" spans="1:16" ht="19.2" customHeight="1" thickBot="1" x14ac:dyDescent="0.35">
      <c r="A23" s="22">
        <v>46001.474236111113</v>
      </c>
      <c r="B23" s="24" t="s">
        <v>10</v>
      </c>
      <c r="C23" s="24" t="s">
        <v>135</v>
      </c>
      <c r="D23" s="26">
        <v>10</v>
      </c>
      <c r="E23" s="24" t="s">
        <v>274</v>
      </c>
      <c r="F23" s="26">
        <v>10</v>
      </c>
      <c r="G23" s="24" t="s">
        <v>275</v>
      </c>
      <c r="H23" s="26">
        <v>8</v>
      </c>
      <c r="I23" s="24" t="s">
        <v>276</v>
      </c>
      <c r="J23" s="26">
        <v>10</v>
      </c>
      <c r="K23" s="24" t="s">
        <v>277</v>
      </c>
      <c r="L23" s="24" t="s">
        <v>72</v>
      </c>
      <c r="M23" s="8">
        <v>10</v>
      </c>
      <c r="N23" s="8">
        <f t="shared" si="0"/>
        <v>65</v>
      </c>
    </row>
    <row r="24" spans="1:16" ht="19.2" customHeight="1" thickBot="1" x14ac:dyDescent="0.35">
      <c r="A24" s="4">
        <v>46001.472685185188</v>
      </c>
      <c r="B24" s="5" t="s">
        <v>217</v>
      </c>
      <c r="C24" s="5" t="s">
        <v>135</v>
      </c>
      <c r="D24" s="6">
        <v>7</v>
      </c>
      <c r="E24" s="5" t="s">
        <v>264</v>
      </c>
      <c r="F24" s="6">
        <v>8</v>
      </c>
      <c r="G24" s="5" t="s">
        <v>265</v>
      </c>
      <c r="H24" s="6">
        <v>8</v>
      </c>
      <c r="I24" s="5" t="s">
        <v>266</v>
      </c>
      <c r="J24" s="6">
        <v>6</v>
      </c>
      <c r="K24" s="5" t="s">
        <v>267</v>
      </c>
      <c r="L24" s="5" t="s">
        <v>268</v>
      </c>
      <c r="M24" s="8">
        <v>10</v>
      </c>
      <c r="N24" s="8">
        <f t="shared" si="0"/>
        <v>51.5</v>
      </c>
    </row>
    <row r="25" spans="1:16" ht="19.2" customHeight="1" thickBot="1" x14ac:dyDescent="0.35">
      <c r="A25" s="9">
        <v>46001.502650462964</v>
      </c>
      <c r="B25" s="10" t="s">
        <v>162</v>
      </c>
      <c r="C25" s="10" t="s">
        <v>91</v>
      </c>
      <c r="D25" s="11">
        <v>10</v>
      </c>
      <c r="E25" s="10" t="s">
        <v>302</v>
      </c>
      <c r="F25" s="11">
        <v>10</v>
      </c>
      <c r="G25" s="10" t="s">
        <v>303</v>
      </c>
      <c r="H25" s="11">
        <v>10</v>
      </c>
      <c r="I25" s="10" t="s">
        <v>304</v>
      </c>
      <c r="J25" s="11">
        <v>10</v>
      </c>
      <c r="K25" s="10" t="s">
        <v>305</v>
      </c>
      <c r="L25" s="13"/>
      <c r="M25" s="12">
        <v>11</v>
      </c>
      <c r="N25" s="8">
        <f t="shared" si="0"/>
        <v>70</v>
      </c>
      <c r="O25">
        <f>AVERAGE(N25:N28)</f>
        <v>66</v>
      </c>
      <c r="P25" s="5" t="str">
        <f>C25</f>
        <v>Pulomnary device (Hanah, Audre, Ian, Nicky)</v>
      </c>
    </row>
    <row r="26" spans="1:16" ht="19.2" customHeight="1" thickBot="1" x14ac:dyDescent="0.35">
      <c r="A26" s="21">
        <v>46001.499837962961</v>
      </c>
      <c r="B26" s="23" t="s">
        <v>10</v>
      </c>
      <c r="C26" s="23" t="s">
        <v>91</v>
      </c>
      <c r="D26" s="25">
        <v>10</v>
      </c>
      <c r="E26" s="23" t="s">
        <v>288</v>
      </c>
      <c r="F26" s="25">
        <v>10</v>
      </c>
      <c r="G26" s="23" t="s">
        <v>289</v>
      </c>
      <c r="H26" s="25">
        <v>9</v>
      </c>
      <c r="I26" s="23" t="s">
        <v>290</v>
      </c>
      <c r="J26" s="25">
        <v>9</v>
      </c>
      <c r="K26" s="23" t="s">
        <v>291</v>
      </c>
      <c r="L26" s="23" t="s">
        <v>72</v>
      </c>
      <c r="M26" s="12">
        <v>11</v>
      </c>
      <c r="N26" s="8">
        <f t="shared" si="0"/>
        <v>66</v>
      </c>
    </row>
    <row r="27" spans="1:16" ht="19.2" customHeight="1" thickBot="1" x14ac:dyDescent="0.35">
      <c r="A27" s="22">
        <v>46001.501134259262</v>
      </c>
      <c r="B27" s="24" t="s">
        <v>45</v>
      </c>
      <c r="C27" s="24" t="s">
        <v>91</v>
      </c>
      <c r="D27" s="26">
        <v>10</v>
      </c>
      <c r="E27" s="28"/>
      <c r="F27" s="26">
        <v>10</v>
      </c>
      <c r="G27" s="24" t="s">
        <v>300</v>
      </c>
      <c r="H27" s="26">
        <v>9</v>
      </c>
      <c r="I27" s="24" t="s">
        <v>301</v>
      </c>
      <c r="J27" s="26">
        <v>10</v>
      </c>
      <c r="K27" s="28"/>
      <c r="L27" s="24" t="s">
        <v>72</v>
      </c>
      <c r="M27" s="8">
        <v>11</v>
      </c>
      <c r="N27" s="8">
        <f t="shared" si="0"/>
        <v>67.5</v>
      </c>
    </row>
    <row r="28" spans="1:16" ht="19.2" customHeight="1" thickBot="1" x14ac:dyDescent="0.35">
      <c r="A28" s="21">
        <v>46001.500439814816</v>
      </c>
      <c r="B28" s="23" t="s">
        <v>25</v>
      </c>
      <c r="C28" s="23" t="s">
        <v>91</v>
      </c>
      <c r="D28" s="25">
        <v>10</v>
      </c>
      <c r="E28" s="23" t="s">
        <v>295</v>
      </c>
      <c r="F28" s="25">
        <v>10</v>
      </c>
      <c r="G28" s="23" t="s">
        <v>296</v>
      </c>
      <c r="H28" s="25">
        <v>8</v>
      </c>
      <c r="I28" s="23" t="s">
        <v>297</v>
      </c>
      <c r="J28" s="25">
        <v>7</v>
      </c>
      <c r="K28" s="23" t="s">
        <v>298</v>
      </c>
      <c r="L28" s="23" t="s">
        <v>299</v>
      </c>
      <c r="M28" s="12">
        <v>11</v>
      </c>
      <c r="N28" s="8">
        <f t="shared" si="0"/>
        <v>60.5</v>
      </c>
    </row>
    <row r="29" spans="1:16" ht="19.2" customHeight="1" thickBot="1" x14ac:dyDescent="0.35">
      <c r="A29" s="9">
        <v>46001.507719907408</v>
      </c>
      <c r="B29" s="10" t="s">
        <v>10</v>
      </c>
      <c r="C29" s="10" t="s">
        <v>85</v>
      </c>
      <c r="D29" s="11">
        <v>10</v>
      </c>
      <c r="E29" s="10" t="s">
        <v>310</v>
      </c>
      <c r="F29" s="11">
        <v>10</v>
      </c>
      <c r="G29" s="10" t="s">
        <v>311</v>
      </c>
      <c r="H29" s="11">
        <v>8</v>
      </c>
      <c r="I29" s="10" t="s">
        <v>312</v>
      </c>
      <c r="J29" s="11">
        <v>9</v>
      </c>
      <c r="K29" s="10" t="s">
        <v>313</v>
      </c>
      <c r="L29" s="10" t="s">
        <v>72</v>
      </c>
      <c r="M29" s="12">
        <v>12</v>
      </c>
      <c r="N29" s="8">
        <f t="shared" si="0"/>
        <v>63.5</v>
      </c>
      <c r="O29">
        <f>AVERAGE(N29:N31)</f>
        <v>58.166666666666664</v>
      </c>
      <c r="P29" s="5" t="str">
        <f>C29</f>
        <v>Neuromuscular disease progression modeling (Ali, Jerry, Manuel, Defne)</v>
      </c>
    </row>
    <row r="30" spans="1:16" ht="19.2" customHeight="1" thickBot="1" x14ac:dyDescent="0.35">
      <c r="A30" s="9">
        <v>46001.508206018516</v>
      </c>
      <c r="B30" s="10" t="s">
        <v>45</v>
      </c>
      <c r="C30" s="10" t="s">
        <v>85</v>
      </c>
      <c r="D30" s="11">
        <v>10</v>
      </c>
      <c r="E30" s="13"/>
      <c r="F30" s="11">
        <v>8</v>
      </c>
      <c r="G30" s="13"/>
      <c r="H30" s="11">
        <v>8</v>
      </c>
      <c r="I30" s="10" t="s">
        <v>319</v>
      </c>
      <c r="J30" s="11">
        <v>8</v>
      </c>
      <c r="K30" s="10" t="s">
        <v>320</v>
      </c>
      <c r="L30" s="10" t="s">
        <v>72</v>
      </c>
      <c r="M30" s="12">
        <v>12</v>
      </c>
      <c r="N30" s="8">
        <f t="shared" si="0"/>
        <v>59</v>
      </c>
    </row>
    <row r="31" spans="1:16" ht="19.2" customHeight="1" thickBot="1" x14ac:dyDescent="0.35">
      <c r="A31" s="4">
        <v>46001.50818287037</v>
      </c>
      <c r="B31" s="5" t="s">
        <v>25</v>
      </c>
      <c r="C31" s="5" t="s">
        <v>85</v>
      </c>
      <c r="D31" s="6">
        <v>7</v>
      </c>
      <c r="E31" s="5" t="s">
        <v>314</v>
      </c>
      <c r="F31" s="6">
        <v>5</v>
      </c>
      <c r="G31" s="5" t="s">
        <v>315</v>
      </c>
      <c r="H31" s="6">
        <v>10</v>
      </c>
      <c r="I31" s="5" t="s">
        <v>316</v>
      </c>
      <c r="J31" s="6">
        <v>6</v>
      </c>
      <c r="K31" s="5" t="s">
        <v>317</v>
      </c>
      <c r="L31" s="5" t="s">
        <v>318</v>
      </c>
      <c r="M31" s="17">
        <v>12</v>
      </c>
      <c r="N31" s="8">
        <f t="shared" si="0"/>
        <v>52</v>
      </c>
    </row>
    <row r="32" spans="1:16" ht="19.2" customHeight="1" thickBot="1" x14ac:dyDescent="0.35">
      <c r="A32" s="22">
        <v>46001.513553240744</v>
      </c>
      <c r="B32" s="24" t="s">
        <v>162</v>
      </c>
      <c r="C32" s="24" t="s">
        <v>96</v>
      </c>
      <c r="D32" s="26">
        <v>10</v>
      </c>
      <c r="E32" s="24" t="s">
        <v>321</v>
      </c>
      <c r="F32" s="26">
        <v>10</v>
      </c>
      <c r="G32" s="24" t="s">
        <v>322</v>
      </c>
      <c r="H32" s="26">
        <v>10</v>
      </c>
      <c r="I32" s="24" t="s">
        <v>323</v>
      </c>
      <c r="J32" s="26">
        <v>10</v>
      </c>
      <c r="K32" s="24" t="s">
        <v>324</v>
      </c>
      <c r="L32" s="24" t="s">
        <v>325</v>
      </c>
      <c r="M32" s="8">
        <v>13</v>
      </c>
      <c r="N32" s="8">
        <f t="shared" si="0"/>
        <v>70</v>
      </c>
      <c r="O32">
        <f>AVERAGE(N32:N35)</f>
        <v>63.25</v>
      </c>
      <c r="P32" s="5" t="str">
        <f>C32</f>
        <v>Respiratory pacemaker for ALS (Stephen, Ella, Andrea, Peter)</v>
      </c>
    </row>
    <row r="33" spans="1:17" ht="19.2" customHeight="1" thickBot="1" x14ac:dyDescent="0.35">
      <c r="A33" s="21">
        <v>46001.516018518516</v>
      </c>
      <c r="B33" s="23" t="s">
        <v>10</v>
      </c>
      <c r="C33" s="23" t="s">
        <v>96</v>
      </c>
      <c r="D33" s="25">
        <v>10</v>
      </c>
      <c r="E33" s="23" t="s">
        <v>334</v>
      </c>
      <c r="F33" s="25">
        <v>9</v>
      </c>
      <c r="G33" s="23" t="s">
        <v>335</v>
      </c>
      <c r="H33" s="25">
        <v>8</v>
      </c>
      <c r="I33" s="23" t="s">
        <v>336</v>
      </c>
      <c r="J33" s="25">
        <v>10</v>
      </c>
      <c r="K33" s="23" t="s">
        <v>337</v>
      </c>
      <c r="L33" s="23" t="s">
        <v>72</v>
      </c>
      <c r="M33" s="12">
        <v>13</v>
      </c>
      <c r="N33" s="8">
        <f t="shared" si="0"/>
        <v>63.5</v>
      </c>
    </row>
    <row r="34" spans="1:17" ht="19.2" customHeight="1" thickBot="1" x14ac:dyDescent="0.35">
      <c r="A34" s="22">
        <v>46001.516423611109</v>
      </c>
      <c r="B34" s="24" t="s">
        <v>45</v>
      </c>
      <c r="C34" s="24" t="s">
        <v>96</v>
      </c>
      <c r="D34" s="26">
        <v>10</v>
      </c>
      <c r="E34" s="28"/>
      <c r="F34" s="26">
        <v>10</v>
      </c>
      <c r="G34" s="28"/>
      <c r="H34" s="26">
        <v>10</v>
      </c>
      <c r="I34" s="28"/>
      <c r="J34" s="26">
        <v>7</v>
      </c>
      <c r="K34" s="24" t="s">
        <v>338</v>
      </c>
      <c r="L34" s="24" t="s">
        <v>339</v>
      </c>
      <c r="M34" s="17">
        <v>13</v>
      </c>
      <c r="N34" s="8">
        <f t="shared" si="0"/>
        <v>65.5</v>
      </c>
    </row>
    <row r="35" spans="1:17" ht="19.2" customHeight="1" thickBot="1" x14ac:dyDescent="0.35">
      <c r="A35" s="4">
        <v>46001.51599537037</v>
      </c>
      <c r="B35" s="5" t="s">
        <v>25</v>
      </c>
      <c r="C35" s="5" t="s">
        <v>96</v>
      </c>
      <c r="D35" s="6">
        <v>9</v>
      </c>
      <c r="E35" s="5" t="s">
        <v>329</v>
      </c>
      <c r="F35" s="6">
        <v>8</v>
      </c>
      <c r="G35" s="5" t="s">
        <v>330</v>
      </c>
      <c r="H35" s="6">
        <v>9</v>
      </c>
      <c r="I35" s="5" t="s">
        <v>331</v>
      </c>
      <c r="J35" s="6">
        <v>4</v>
      </c>
      <c r="K35" s="5" t="s">
        <v>332</v>
      </c>
      <c r="L35" s="5" t="s">
        <v>333</v>
      </c>
      <c r="M35" s="17">
        <v>13</v>
      </c>
      <c r="N35" s="8">
        <f t="shared" si="0"/>
        <v>54</v>
      </c>
    </row>
    <row r="36" spans="1:17" ht="19.2" customHeight="1" thickBot="1" x14ac:dyDescent="0.35">
      <c r="A36" s="22">
        <v>46001.532152777778</v>
      </c>
      <c r="B36" s="24" t="s">
        <v>162</v>
      </c>
      <c r="C36" s="24" t="s">
        <v>107</v>
      </c>
      <c r="D36" s="26">
        <v>10</v>
      </c>
      <c r="E36" s="28"/>
      <c r="F36" s="26">
        <v>10</v>
      </c>
      <c r="G36" s="24" t="s">
        <v>367</v>
      </c>
      <c r="H36" s="26">
        <v>9</v>
      </c>
      <c r="I36" s="24" t="s">
        <v>368</v>
      </c>
      <c r="J36" s="26">
        <v>10</v>
      </c>
      <c r="K36" s="28"/>
      <c r="L36" s="28"/>
      <c r="M36" s="8">
        <v>14</v>
      </c>
      <c r="N36" s="8">
        <f t="shared" si="0"/>
        <v>67.5</v>
      </c>
      <c r="O36">
        <f>AVERAGE(N36:N39)</f>
        <v>63.625</v>
      </c>
      <c r="P36" s="5" t="str">
        <f>C36</f>
        <v>Sleep Tracking (Maddie, Milan, Zohaib, Martha)</v>
      </c>
    </row>
    <row r="37" spans="1:17" ht="19.2" customHeight="1" thickBot="1" x14ac:dyDescent="0.35">
      <c r="A37" s="21">
        <v>46001.532106481478</v>
      </c>
      <c r="B37" s="23" t="s">
        <v>10</v>
      </c>
      <c r="C37" s="23" t="s">
        <v>107</v>
      </c>
      <c r="D37" s="25">
        <v>9</v>
      </c>
      <c r="E37" s="23" t="s">
        <v>363</v>
      </c>
      <c r="F37" s="25">
        <v>10</v>
      </c>
      <c r="G37" s="23" t="s">
        <v>364</v>
      </c>
      <c r="H37" s="25">
        <v>9</v>
      </c>
      <c r="I37" s="23" t="s">
        <v>365</v>
      </c>
      <c r="J37" s="25">
        <v>10</v>
      </c>
      <c r="K37" s="23" t="s">
        <v>366</v>
      </c>
      <c r="L37" s="23" t="s">
        <v>72</v>
      </c>
      <c r="M37" s="12">
        <v>14</v>
      </c>
      <c r="N37" s="8">
        <f t="shared" si="0"/>
        <v>66</v>
      </c>
    </row>
    <row r="38" spans="1:17" ht="19.2" customHeight="1" thickBot="1" x14ac:dyDescent="0.35">
      <c r="A38" s="9">
        <v>46001.532430555555</v>
      </c>
      <c r="B38" s="10" t="s">
        <v>45</v>
      </c>
      <c r="C38" s="10" t="s">
        <v>107</v>
      </c>
      <c r="D38" s="11">
        <v>10</v>
      </c>
      <c r="E38" s="13"/>
      <c r="F38" s="11">
        <v>10</v>
      </c>
      <c r="G38" s="13"/>
      <c r="H38" s="11">
        <v>8</v>
      </c>
      <c r="I38" s="10" t="s">
        <v>369</v>
      </c>
      <c r="J38" s="11">
        <v>10</v>
      </c>
      <c r="K38" s="13"/>
      <c r="L38" s="10" t="s">
        <v>72</v>
      </c>
      <c r="M38" s="12">
        <v>14</v>
      </c>
      <c r="N38" s="8">
        <f t="shared" si="0"/>
        <v>65</v>
      </c>
    </row>
    <row r="39" spans="1:17" ht="19.2" customHeight="1" thickBot="1" x14ac:dyDescent="0.35">
      <c r="A39" s="4">
        <v>46001.533865740741</v>
      </c>
      <c r="B39" s="5" t="s">
        <v>25</v>
      </c>
      <c r="C39" s="5" t="s">
        <v>107</v>
      </c>
      <c r="D39" s="6">
        <v>9</v>
      </c>
      <c r="E39" s="5" t="s">
        <v>370</v>
      </c>
      <c r="F39" s="6">
        <v>10</v>
      </c>
      <c r="G39" s="5" t="s">
        <v>371</v>
      </c>
      <c r="H39" s="6">
        <v>8</v>
      </c>
      <c r="I39" s="5" t="s">
        <v>372</v>
      </c>
      <c r="J39" s="6">
        <v>5</v>
      </c>
      <c r="K39" s="5" t="s">
        <v>373</v>
      </c>
      <c r="L39" s="5" t="s">
        <v>374</v>
      </c>
      <c r="M39" s="17">
        <v>14</v>
      </c>
      <c r="N39" s="8">
        <f t="shared" si="0"/>
        <v>56</v>
      </c>
    </row>
    <row r="40" spans="1:17" ht="19.2" customHeight="1" thickBot="1" x14ac:dyDescent="0.35">
      <c r="A40" s="9">
        <v>46001.52244212963</v>
      </c>
      <c r="B40" s="10" t="s">
        <v>162</v>
      </c>
      <c r="C40" s="10" t="s">
        <v>23</v>
      </c>
      <c r="D40" s="11">
        <v>10</v>
      </c>
      <c r="E40" s="10" t="s">
        <v>340</v>
      </c>
      <c r="F40" s="11">
        <v>10</v>
      </c>
      <c r="G40" s="10" t="s">
        <v>341</v>
      </c>
      <c r="H40" s="11">
        <v>10</v>
      </c>
      <c r="I40" s="10" t="s">
        <v>342</v>
      </c>
      <c r="J40" s="11">
        <v>10</v>
      </c>
      <c r="K40" s="10" t="s">
        <v>343</v>
      </c>
      <c r="L40" s="10" t="s">
        <v>344</v>
      </c>
      <c r="M40" s="12">
        <v>15</v>
      </c>
      <c r="N40" s="8">
        <f t="shared" si="0"/>
        <v>70</v>
      </c>
      <c r="O40">
        <f>AVERAGE(N40:N43)</f>
        <v>67.375</v>
      </c>
      <c r="P40" s="5" t="str">
        <f>C40</f>
        <v>Asthma Detection (Giulia, Elena, Kaeo, Spencer)</v>
      </c>
    </row>
    <row r="41" spans="1:17" ht="19.2" customHeight="1" thickBot="1" x14ac:dyDescent="0.35">
      <c r="A41" s="4">
        <v>46001.524421296293</v>
      </c>
      <c r="B41" s="5" t="s">
        <v>10</v>
      </c>
      <c r="C41" s="5" t="s">
        <v>23</v>
      </c>
      <c r="D41" s="6">
        <v>9</v>
      </c>
      <c r="E41" s="5" t="s">
        <v>345</v>
      </c>
      <c r="F41" s="6">
        <v>10</v>
      </c>
      <c r="G41" s="5" t="s">
        <v>346</v>
      </c>
      <c r="H41" s="6">
        <v>10</v>
      </c>
      <c r="I41" s="5" t="s">
        <v>347</v>
      </c>
      <c r="J41" s="6">
        <v>10</v>
      </c>
      <c r="K41" s="5" t="s">
        <v>348</v>
      </c>
      <c r="L41" s="5" t="s">
        <v>72</v>
      </c>
      <c r="M41" s="8">
        <v>15</v>
      </c>
      <c r="N41" s="8">
        <f t="shared" si="0"/>
        <v>68.5</v>
      </c>
    </row>
    <row r="42" spans="1:17" ht="19.2" customHeight="1" thickBot="1" x14ac:dyDescent="0.35">
      <c r="A42" s="9">
        <v>46001.52449074074</v>
      </c>
      <c r="B42" s="10" t="s">
        <v>45</v>
      </c>
      <c r="C42" s="10" t="s">
        <v>23</v>
      </c>
      <c r="D42" s="11">
        <v>10</v>
      </c>
      <c r="E42" s="13"/>
      <c r="F42" s="11">
        <v>10</v>
      </c>
      <c r="G42" s="13"/>
      <c r="H42" s="11">
        <v>10</v>
      </c>
      <c r="I42" s="13"/>
      <c r="J42" s="11">
        <v>9</v>
      </c>
      <c r="K42" s="10" t="s">
        <v>349</v>
      </c>
      <c r="L42" s="10" t="s">
        <v>350</v>
      </c>
      <c r="M42" s="12">
        <v>15</v>
      </c>
      <c r="N42" s="8">
        <f t="shared" si="0"/>
        <v>68.5</v>
      </c>
    </row>
    <row r="43" spans="1:17" ht="19.2" customHeight="1" thickBot="1" x14ac:dyDescent="0.35">
      <c r="A43" s="18">
        <v>46001.524780092594</v>
      </c>
      <c r="B43" s="19" t="s">
        <v>25</v>
      </c>
      <c r="C43" s="19" t="s">
        <v>23</v>
      </c>
      <c r="D43" s="20">
        <v>10</v>
      </c>
      <c r="E43" s="19" t="s">
        <v>351</v>
      </c>
      <c r="F43" s="20">
        <v>9</v>
      </c>
      <c r="G43" s="19" t="s">
        <v>352</v>
      </c>
      <c r="H43" s="20">
        <v>10</v>
      </c>
      <c r="I43" s="19" t="s">
        <v>353</v>
      </c>
      <c r="J43" s="20">
        <v>6</v>
      </c>
      <c r="K43" s="19" t="s">
        <v>354</v>
      </c>
      <c r="L43" s="19" t="s">
        <v>355</v>
      </c>
      <c r="M43" s="29">
        <v>15</v>
      </c>
      <c r="N43" s="8">
        <f t="shared" si="0"/>
        <v>62.5</v>
      </c>
    </row>
    <row r="45" spans="1:17" ht="19.2" customHeight="1" thickBot="1" x14ac:dyDescent="0.35">
      <c r="N45" t="s">
        <v>16</v>
      </c>
      <c r="O45" t="s">
        <v>375</v>
      </c>
      <c r="P45" t="s">
        <v>376</v>
      </c>
      <c r="Q45" t="s">
        <v>377</v>
      </c>
    </row>
    <row r="46" spans="1:17" ht="19.2" customHeight="1" thickBot="1" x14ac:dyDescent="0.35">
      <c r="A46" s="21">
        <v>46001.388101851851</v>
      </c>
      <c r="B46" s="23" t="s">
        <v>16</v>
      </c>
      <c r="C46" s="23" t="s">
        <v>125</v>
      </c>
      <c r="D46" s="25">
        <v>8</v>
      </c>
      <c r="E46" s="23" t="s">
        <v>150</v>
      </c>
      <c r="F46" s="25">
        <v>8</v>
      </c>
      <c r="G46" s="23" t="s">
        <v>150</v>
      </c>
      <c r="H46" s="25">
        <v>7</v>
      </c>
      <c r="I46" s="23" t="s">
        <v>151</v>
      </c>
      <c r="J46" s="25">
        <v>7</v>
      </c>
      <c r="K46" s="23" t="s">
        <v>152</v>
      </c>
      <c r="L46" s="23" t="s">
        <v>152</v>
      </c>
      <c r="M46" s="12">
        <v>1</v>
      </c>
      <c r="N46" s="8">
        <f t="shared" ref="N46:N56" si="1">D46/10*15+F46/10*15+H46/10*25+J46/10*15</f>
        <v>52</v>
      </c>
      <c r="O46">
        <v>67.25</v>
      </c>
      <c r="P46">
        <f>AVERAGE(N46:O46)</f>
        <v>59.625</v>
      </c>
      <c r="Q46">
        <f>O46-N46</f>
        <v>15.25</v>
      </c>
    </row>
    <row r="47" spans="1:17" ht="19.2" customHeight="1" thickBot="1" x14ac:dyDescent="0.35">
      <c r="A47" s="22">
        <v>46001.393125000002</v>
      </c>
      <c r="B47" s="24" t="s">
        <v>16</v>
      </c>
      <c r="C47" s="24" t="s">
        <v>36</v>
      </c>
      <c r="D47" s="26">
        <v>8</v>
      </c>
      <c r="E47" s="24" t="s">
        <v>153</v>
      </c>
      <c r="F47" s="26">
        <v>8</v>
      </c>
      <c r="G47" s="24" t="s">
        <v>154</v>
      </c>
      <c r="H47" s="26">
        <v>9</v>
      </c>
      <c r="I47" s="24" t="s">
        <v>155</v>
      </c>
      <c r="J47" s="26">
        <v>8</v>
      </c>
      <c r="K47" s="24" t="s">
        <v>156</v>
      </c>
      <c r="L47" s="24" t="s">
        <v>157</v>
      </c>
      <c r="M47" s="17">
        <v>2</v>
      </c>
      <c r="N47" s="8">
        <f t="shared" si="1"/>
        <v>58.5</v>
      </c>
      <c r="O47">
        <v>64.5</v>
      </c>
      <c r="P47">
        <f t="shared" ref="P47:P60" si="2">AVERAGE(N47:O47)</f>
        <v>61.5</v>
      </c>
      <c r="Q47">
        <f t="shared" ref="Q47:Q60" si="3">O47-N47</f>
        <v>6</v>
      </c>
    </row>
    <row r="48" spans="1:17" ht="19.2" customHeight="1" thickBot="1" x14ac:dyDescent="0.35">
      <c r="A48" s="4">
        <v>46001.40184027778</v>
      </c>
      <c r="B48" s="5" t="s">
        <v>16</v>
      </c>
      <c r="C48" s="5" t="s">
        <v>64</v>
      </c>
      <c r="D48" s="6">
        <v>8</v>
      </c>
      <c r="E48" s="5" t="s">
        <v>172</v>
      </c>
      <c r="F48" s="6">
        <v>8</v>
      </c>
      <c r="G48" s="5" t="s">
        <v>173</v>
      </c>
      <c r="H48" s="6">
        <v>8</v>
      </c>
      <c r="I48" s="5" t="s">
        <v>174</v>
      </c>
      <c r="J48" s="6">
        <v>8</v>
      </c>
      <c r="K48" s="5" t="s">
        <v>175</v>
      </c>
      <c r="L48" s="7"/>
      <c r="M48" s="8">
        <v>3</v>
      </c>
      <c r="N48" s="8">
        <f t="shared" si="1"/>
        <v>56</v>
      </c>
      <c r="O48">
        <v>66.5</v>
      </c>
      <c r="P48">
        <f t="shared" si="2"/>
        <v>61.25</v>
      </c>
      <c r="Q48">
        <f t="shared" si="3"/>
        <v>10.5</v>
      </c>
    </row>
    <row r="49" spans="1:17" ht="19.2" customHeight="1" thickBot="1" x14ac:dyDescent="0.35">
      <c r="A49" s="22">
        <v>46001.408043981479</v>
      </c>
      <c r="B49" s="24" t="s">
        <v>16</v>
      </c>
      <c r="C49" s="24" t="s">
        <v>11</v>
      </c>
      <c r="D49" s="26">
        <v>9</v>
      </c>
      <c r="E49" s="24" t="s">
        <v>181</v>
      </c>
      <c r="F49" s="26">
        <v>8</v>
      </c>
      <c r="G49" s="24" t="s">
        <v>182</v>
      </c>
      <c r="H49" s="26">
        <v>9</v>
      </c>
      <c r="I49" s="24" t="s">
        <v>183</v>
      </c>
      <c r="J49" s="26">
        <v>9</v>
      </c>
      <c r="K49" s="24" t="s">
        <v>184</v>
      </c>
      <c r="L49" s="24" t="s">
        <v>185</v>
      </c>
      <c r="M49" s="8">
        <v>4</v>
      </c>
      <c r="N49" s="8">
        <f t="shared" si="1"/>
        <v>61.5</v>
      </c>
      <c r="O49">
        <v>65</v>
      </c>
      <c r="P49">
        <f t="shared" si="2"/>
        <v>63.25</v>
      </c>
      <c r="Q49">
        <f t="shared" si="3"/>
        <v>3.5</v>
      </c>
    </row>
    <row r="50" spans="1:17" ht="19.2" customHeight="1" thickBot="1" x14ac:dyDescent="0.35">
      <c r="A50" s="4">
        <v>46001.415312500001</v>
      </c>
      <c r="B50" s="5" t="s">
        <v>16</v>
      </c>
      <c r="C50" s="5" t="s">
        <v>118</v>
      </c>
      <c r="D50" s="6">
        <v>9</v>
      </c>
      <c r="E50" s="5" t="s">
        <v>190</v>
      </c>
      <c r="F50" s="6">
        <v>9</v>
      </c>
      <c r="G50" s="5" t="s">
        <v>114</v>
      </c>
      <c r="H50" s="6">
        <v>8</v>
      </c>
      <c r="I50" s="5" t="s">
        <v>191</v>
      </c>
      <c r="J50" s="6">
        <v>8</v>
      </c>
      <c r="K50" s="5" t="s">
        <v>192</v>
      </c>
      <c r="L50" s="7"/>
      <c r="M50" s="8">
        <v>5</v>
      </c>
      <c r="N50" s="8">
        <f t="shared" si="1"/>
        <v>59</v>
      </c>
      <c r="O50">
        <v>70</v>
      </c>
      <c r="P50">
        <f t="shared" si="2"/>
        <v>64.5</v>
      </c>
      <c r="Q50">
        <f t="shared" si="3"/>
        <v>11</v>
      </c>
    </row>
    <row r="51" spans="1:17" ht="19.2" customHeight="1" thickBot="1" x14ac:dyDescent="0.35">
      <c r="A51" s="9">
        <v>46001.443726851852</v>
      </c>
      <c r="B51" s="10" t="s">
        <v>16</v>
      </c>
      <c r="C51" s="10" t="s">
        <v>78</v>
      </c>
      <c r="D51" s="11">
        <v>8</v>
      </c>
      <c r="E51" s="10" t="s">
        <v>211</v>
      </c>
      <c r="F51" s="11">
        <v>9</v>
      </c>
      <c r="G51" s="10" t="s">
        <v>212</v>
      </c>
      <c r="H51" s="11">
        <v>8</v>
      </c>
      <c r="I51" s="10" t="s">
        <v>213</v>
      </c>
      <c r="J51" s="11">
        <v>8</v>
      </c>
      <c r="K51" s="13"/>
      <c r="L51" s="13"/>
      <c r="M51" s="12">
        <v>6</v>
      </c>
      <c r="N51" s="8">
        <f t="shared" si="1"/>
        <v>57.5</v>
      </c>
      <c r="O51">
        <v>70</v>
      </c>
      <c r="P51">
        <f t="shared" si="2"/>
        <v>63.75</v>
      </c>
      <c r="Q51">
        <f t="shared" si="3"/>
        <v>12.5</v>
      </c>
    </row>
    <row r="52" spans="1:17" ht="19.2" customHeight="1" thickBot="1" x14ac:dyDescent="0.35">
      <c r="A52" s="4">
        <v>46001.449016203704</v>
      </c>
      <c r="B52" s="5" t="s">
        <v>16</v>
      </c>
      <c r="C52" s="5" t="s">
        <v>46</v>
      </c>
      <c r="D52" s="6">
        <v>8</v>
      </c>
      <c r="E52" s="5" t="s">
        <v>214</v>
      </c>
      <c r="F52" s="6">
        <v>9</v>
      </c>
      <c r="G52" s="5" t="s">
        <v>214</v>
      </c>
      <c r="H52" s="6">
        <v>8</v>
      </c>
      <c r="I52" s="5" t="s">
        <v>215</v>
      </c>
      <c r="J52" s="6">
        <v>9</v>
      </c>
      <c r="K52" s="5" t="s">
        <v>216</v>
      </c>
      <c r="L52" s="7"/>
      <c r="M52" s="8">
        <v>7</v>
      </c>
      <c r="N52" s="8">
        <f t="shared" si="1"/>
        <v>59</v>
      </c>
      <c r="O52">
        <v>60.5</v>
      </c>
      <c r="P52">
        <f t="shared" si="2"/>
        <v>59.75</v>
      </c>
      <c r="Q52">
        <f t="shared" si="3"/>
        <v>1.5</v>
      </c>
    </row>
    <row r="53" spans="1:17" ht="19.2" customHeight="1" thickBot="1" x14ac:dyDescent="0.35">
      <c r="A53" s="22">
        <v>46001.455590277779</v>
      </c>
      <c r="B53" s="24" t="s">
        <v>16</v>
      </c>
      <c r="C53" s="24" t="s">
        <v>54</v>
      </c>
      <c r="D53" s="26">
        <v>8</v>
      </c>
      <c r="E53" s="24" t="s">
        <v>231</v>
      </c>
      <c r="F53" s="26">
        <v>8</v>
      </c>
      <c r="G53" s="24" t="s">
        <v>232</v>
      </c>
      <c r="H53" s="26">
        <v>8</v>
      </c>
      <c r="I53" s="24" t="s">
        <v>233</v>
      </c>
      <c r="J53" s="26">
        <v>9</v>
      </c>
      <c r="K53" s="24" t="s">
        <v>234</v>
      </c>
      <c r="L53" s="24" t="s">
        <v>235</v>
      </c>
      <c r="M53" s="8">
        <v>8</v>
      </c>
      <c r="N53" s="8">
        <f t="shared" si="1"/>
        <v>57.5</v>
      </c>
      <c r="O53">
        <v>60.5</v>
      </c>
      <c r="P53">
        <f t="shared" si="2"/>
        <v>59</v>
      </c>
      <c r="Q53">
        <f t="shared" si="3"/>
        <v>3</v>
      </c>
    </row>
    <row r="54" spans="1:17" ht="19.2" customHeight="1" thickBot="1" x14ac:dyDescent="0.35">
      <c r="A54" s="4">
        <v>46001.463958333334</v>
      </c>
      <c r="B54" s="5" t="s">
        <v>16</v>
      </c>
      <c r="C54" s="5" t="s">
        <v>73</v>
      </c>
      <c r="D54" s="6">
        <v>8</v>
      </c>
      <c r="E54" s="5" t="s">
        <v>248</v>
      </c>
      <c r="F54" s="6">
        <v>8</v>
      </c>
      <c r="G54" s="5" t="s">
        <v>249</v>
      </c>
      <c r="H54" s="6">
        <v>8</v>
      </c>
      <c r="I54" s="5" t="s">
        <v>250</v>
      </c>
      <c r="J54" s="6">
        <v>9</v>
      </c>
      <c r="K54" s="5" t="s">
        <v>251</v>
      </c>
      <c r="L54" s="5" t="s">
        <v>252</v>
      </c>
      <c r="M54" s="8">
        <v>9</v>
      </c>
      <c r="N54" s="8">
        <f t="shared" si="1"/>
        <v>57.5</v>
      </c>
      <c r="O54">
        <v>64.166666666666671</v>
      </c>
      <c r="P54">
        <f t="shared" si="2"/>
        <v>60.833333333333336</v>
      </c>
      <c r="Q54">
        <f t="shared" si="3"/>
        <v>6.6666666666666714</v>
      </c>
    </row>
    <row r="55" spans="1:17" ht="19.2" customHeight="1" thickBot="1" x14ac:dyDescent="0.35">
      <c r="A55" s="9">
        <v>46001.472800925927</v>
      </c>
      <c r="B55" s="10" t="s">
        <v>16</v>
      </c>
      <c r="C55" s="10" t="s">
        <v>135</v>
      </c>
      <c r="D55" s="11">
        <v>8</v>
      </c>
      <c r="E55" s="10" t="s">
        <v>269</v>
      </c>
      <c r="F55" s="11">
        <v>8</v>
      </c>
      <c r="G55" s="10" t="s">
        <v>270</v>
      </c>
      <c r="H55" s="11">
        <v>8</v>
      </c>
      <c r="I55" s="10" t="s">
        <v>271</v>
      </c>
      <c r="J55" s="11">
        <v>7</v>
      </c>
      <c r="K55" s="10" t="s">
        <v>272</v>
      </c>
      <c r="L55" s="10" t="s">
        <v>273</v>
      </c>
      <c r="M55" s="8">
        <v>10</v>
      </c>
      <c r="N55" s="8">
        <f t="shared" si="1"/>
        <v>54.5</v>
      </c>
      <c r="O55">
        <v>58.666666666666664</v>
      </c>
      <c r="P55">
        <f t="shared" si="2"/>
        <v>56.583333333333329</v>
      </c>
      <c r="Q55">
        <f t="shared" si="3"/>
        <v>4.1666666666666643</v>
      </c>
    </row>
    <row r="56" spans="1:17" ht="19.2" customHeight="1" thickBot="1" x14ac:dyDescent="0.35">
      <c r="A56" s="4">
        <v>46001.500335648147</v>
      </c>
      <c r="B56" s="5" t="s">
        <v>16</v>
      </c>
      <c r="C56" s="5" t="s">
        <v>91</v>
      </c>
      <c r="D56" s="6">
        <v>9</v>
      </c>
      <c r="E56" s="5" t="s">
        <v>292</v>
      </c>
      <c r="F56" s="6">
        <v>8</v>
      </c>
      <c r="G56" s="5" t="s">
        <v>293</v>
      </c>
      <c r="H56" s="6">
        <v>8</v>
      </c>
      <c r="I56" s="5" t="s">
        <v>294</v>
      </c>
      <c r="J56" s="6">
        <v>8</v>
      </c>
      <c r="K56" s="7"/>
      <c r="L56" s="7"/>
      <c r="M56" s="8">
        <v>11</v>
      </c>
      <c r="N56" s="8">
        <f t="shared" si="1"/>
        <v>57.5</v>
      </c>
      <c r="O56">
        <v>66</v>
      </c>
      <c r="P56">
        <f t="shared" si="2"/>
        <v>61.75</v>
      </c>
      <c r="Q56">
        <f t="shared" si="3"/>
        <v>8.5</v>
      </c>
    </row>
    <row r="57" spans="1:17" ht="19.2" customHeight="1" thickBot="1" x14ac:dyDescent="0.35">
      <c r="A57" s="22">
        <v>46001.507361111115</v>
      </c>
      <c r="B57" s="24" t="s">
        <v>16</v>
      </c>
      <c r="C57" s="24" t="s">
        <v>85</v>
      </c>
      <c r="D57" s="26">
        <v>7</v>
      </c>
      <c r="E57" s="24" t="s">
        <v>306</v>
      </c>
      <c r="F57" s="26">
        <v>6</v>
      </c>
      <c r="G57" s="24" t="s">
        <v>307</v>
      </c>
      <c r="H57" s="26">
        <v>7</v>
      </c>
      <c r="I57" s="24" t="s">
        <v>308</v>
      </c>
      <c r="J57" s="26">
        <v>7</v>
      </c>
      <c r="K57" s="24" t="s">
        <v>309</v>
      </c>
      <c r="L57" s="28"/>
      <c r="M57" s="8">
        <v>12</v>
      </c>
      <c r="N57" s="8">
        <v>52</v>
      </c>
      <c r="O57">
        <v>58.166666666666664</v>
      </c>
      <c r="P57">
        <f t="shared" si="2"/>
        <v>55.083333333333329</v>
      </c>
      <c r="Q57">
        <f t="shared" si="3"/>
        <v>6.1666666666666643</v>
      </c>
    </row>
    <row r="58" spans="1:17" ht="19.2" customHeight="1" thickBot="1" x14ac:dyDescent="0.35">
      <c r="A58" s="21">
        <v>46001.51494212963</v>
      </c>
      <c r="B58" s="23" t="s">
        <v>16</v>
      </c>
      <c r="C58" s="23" t="s">
        <v>96</v>
      </c>
      <c r="D58" s="25">
        <v>9</v>
      </c>
      <c r="E58" s="23" t="s">
        <v>326</v>
      </c>
      <c r="F58" s="25">
        <v>8</v>
      </c>
      <c r="G58" s="23" t="s">
        <v>327</v>
      </c>
      <c r="H58" s="25">
        <v>8</v>
      </c>
      <c r="I58" s="23" t="s">
        <v>328</v>
      </c>
      <c r="J58" s="25">
        <v>8</v>
      </c>
      <c r="K58" s="27"/>
      <c r="L58" s="27"/>
      <c r="M58" s="12">
        <v>13</v>
      </c>
      <c r="N58" s="8">
        <f>D58/10*15+F58/10*15+H58/10*25+J58/10*15</f>
        <v>57.5</v>
      </c>
      <c r="O58">
        <v>63.25</v>
      </c>
      <c r="P58">
        <f t="shared" si="2"/>
        <v>60.375</v>
      </c>
      <c r="Q58">
        <f t="shared" si="3"/>
        <v>5.75</v>
      </c>
    </row>
    <row r="59" spans="1:17" ht="19.2" customHeight="1" thickBot="1" x14ac:dyDescent="0.35">
      <c r="A59" s="9">
        <v>46001.524965277778</v>
      </c>
      <c r="B59" s="10" t="s">
        <v>16</v>
      </c>
      <c r="C59" s="24" t="s">
        <v>107</v>
      </c>
      <c r="D59" s="26">
        <v>9</v>
      </c>
      <c r="E59" s="24" t="s">
        <v>359</v>
      </c>
      <c r="F59" s="26">
        <v>8</v>
      </c>
      <c r="G59" s="24" t="s">
        <v>360</v>
      </c>
      <c r="H59" s="26">
        <v>8</v>
      </c>
      <c r="I59" s="24" t="s">
        <v>361</v>
      </c>
      <c r="J59" s="26">
        <v>8</v>
      </c>
      <c r="K59" s="24" t="s">
        <v>362</v>
      </c>
      <c r="L59" s="28"/>
      <c r="M59" s="8">
        <v>14</v>
      </c>
      <c r="N59" s="8">
        <f>D59/10*15+F59/10*15+H59/10*25+J59/10*15</f>
        <v>57.5</v>
      </c>
      <c r="O59">
        <v>63.625</v>
      </c>
      <c r="P59">
        <f t="shared" si="2"/>
        <v>60.5625</v>
      </c>
      <c r="Q59">
        <f t="shared" si="3"/>
        <v>6.125</v>
      </c>
    </row>
    <row r="60" spans="1:17" ht="19.2" customHeight="1" thickBot="1" x14ac:dyDescent="0.35">
      <c r="A60" s="4">
        <v>46001.530856481484</v>
      </c>
      <c r="B60" s="5" t="s">
        <v>16</v>
      </c>
      <c r="C60" s="23" t="s">
        <v>23</v>
      </c>
      <c r="D60" s="25">
        <v>8</v>
      </c>
      <c r="E60" s="23" t="s">
        <v>356</v>
      </c>
      <c r="F60" s="25">
        <v>8</v>
      </c>
      <c r="G60" s="23" t="s">
        <v>357</v>
      </c>
      <c r="H60" s="25">
        <v>7</v>
      </c>
      <c r="I60" s="23" t="s">
        <v>358</v>
      </c>
      <c r="J60" s="25">
        <v>8</v>
      </c>
      <c r="K60" s="27"/>
      <c r="L60" s="27"/>
      <c r="M60" s="12">
        <v>15</v>
      </c>
      <c r="N60" s="8">
        <f>D60/10*15+F60/10*15+H60/10*25+J60/10*15</f>
        <v>53.5</v>
      </c>
      <c r="O60">
        <v>67.375</v>
      </c>
      <c r="P60">
        <f t="shared" si="2"/>
        <v>60.4375</v>
      </c>
      <c r="Q60">
        <f t="shared" si="3"/>
        <v>13.875</v>
      </c>
    </row>
  </sheetData>
  <sortState xmlns:xlrd2="http://schemas.microsoft.com/office/spreadsheetml/2017/richdata2" ref="C46:N60">
    <sortCondition ref="M46:M6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1FCEB-1276-441C-AE0D-675D7E28DA70}">
  <dimension ref="A2:C14"/>
  <sheetViews>
    <sheetView workbookViewId="0">
      <selection activeCell="C10" sqref="C10"/>
    </sheetView>
  </sheetViews>
  <sheetFormatPr defaultRowHeight="14.4" x14ac:dyDescent="0.3"/>
  <sheetData>
    <row r="2" spans="1:3" x14ac:dyDescent="0.3">
      <c r="A2" t="s">
        <v>569</v>
      </c>
      <c r="C2" t="s">
        <v>570</v>
      </c>
    </row>
    <row r="4" spans="1:3" x14ac:dyDescent="0.3">
      <c r="A4" t="s">
        <v>558</v>
      </c>
      <c r="C4" t="s">
        <v>541</v>
      </c>
    </row>
    <row r="5" spans="1:3" x14ac:dyDescent="0.3">
      <c r="A5" t="s">
        <v>559</v>
      </c>
      <c r="C5" t="s">
        <v>444</v>
      </c>
    </row>
    <row r="6" spans="1:3" x14ac:dyDescent="0.3">
      <c r="A6" t="s">
        <v>560</v>
      </c>
      <c r="C6" t="s">
        <v>516</v>
      </c>
    </row>
    <row r="7" spans="1:3" x14ac:dyDescent="0.3">
      <c r="A7" t="s">
        <v>561</v>
      </c>
      <c r="C7" t="s">
        <v>471</v>
      </c>
    </row>
    <row r="8" spans="1:3" x14ac:dyDescent="0.3">
      <c r="A8" t="s">
        <v>562</v>
      </c>
      <c r="C8" t="s">
        <v>482</v>
      </c>
    </row>
    <row r="9" spans="1:3" x14ac:dyDescent="0.3">
      <c r="A9" t="s">
        <v>563</v>
      </c>
      <c r="C9" t="s">
        <v>543</v>
      </c>
    </row>
    <row r="10" spans="1:3" x14ac:dyDescent="0.3">
      <c r="A10" t="s">
        <v>564</v>
      </c>
    </row>
    <row r="11" spans="1:3" x14ac:dyDescent="0.3">
      <c r="A11" t="s">
        <v>565</v>
      </c>
    </row>
    <row r="12" spans="1:3" x14ac:dyDescent="0.3">
      <c r="A12" t="s">
        <v>566</v>
      </c>
    </row>
    <row r="13" spans="1:3" x14ac:dyDescent="0.3">
      <c r="A13" t="s">
        <v>567</v>
      </c>
    </row>
    <row r="14" spans="1:3" x14ac:dyDescent="0.3">
      <c r="A14" t="s">
        <v>568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Report</vt:lpstr>
      <vt:lpstr>Summary</vt:lpstr>
      <vt:lpstr>Presentation</vt:lpstr>
      <vt:lpstr>Form or Group 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Moyer, Linsey</dc:creator>
  <cp:lastModifiedBy>Moyer, Linsey</cp:lastModifiedBy>
  <dcterms:created xsi:type="dcterms:W3CDTF">2015-06-05T18:17:20Z</dcterms:created>
  <dcterms:modified xsi:type="dcterms:W3CDTF">2026-01-08T17:28:12Z</dcterms:modified>
</cp:coreProperties>
</file>